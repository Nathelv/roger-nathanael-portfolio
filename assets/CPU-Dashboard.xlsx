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xl/volatileDependencies.xml" ContentType="application/vnd.openxmlformats-officedocument.spreadsheetml.volatileDependenc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binusianorg-my.sharepoint.com/personal/roger_nathanael_binus_ac_id/Documents/MATKUL/Data Modelling/Project Data Modelling/"/>
    </mc:Choice>
  </mc:AlternateContent>
  <xr:revisionPtr revIDLastSave="2480" documentId="11_F25DC773A252ABDACC10483C91DA75445ADE58EC" xr6:coauthVersionLast="47" xr6:coauthVersionMax="47" xr10:uidLastSave="{CDB3870A-F15C-4235-AC55-886B75F5FC45}"/>
  <bookViews>
    <workbookView xWindow="-108" yWindow="-108" windowWidth="23256" windowHeight="12456" firstSheet="5" xr2:uid="{00000000-000D-0000-FFFF-FFFF00000000}"/>
  </bookViews>
  <sheets>
    <sheet name="Overview (Dashboard)" sheetId="9" r:id="rId1"/>
    <sheet name="Analisis_What_If" sheetId="7" r:id="rId2"/>
    <sheet name="CUBE_Analysis" sheetId="1" r:id="rId3"/>
    <sheet name="PivotTable" sheetId="8" r:id="rId4"/>
    <sheet name="smartphone_cpu_stats" sheetId="4" r:id="rId5"/>
    <sheet name="ML_ALL_benchmarks" sheetId="3" r:id="rId6"/>
    <sheet name="antutu_android_vs_ios_v4" sheetId="2" r:id="rId7"/>
    <sheet name="Mapping_CPU" sheetId="6" r:id="rId8"/>
  </sheets>
  <definedNames>
    <definedName name="_xlcn.WorksheetConnection_10Project.xlsxData_AnTuTu1" hidden="1">Data_AnTuTu[]</definedName>
    <definedName name="_xlcn.WorksheetConnection_10Project.xlsxData_CPU1" hidden="1">Data_CPU[]</definedName>
    <definedName name="_xlcn.WorksheetConnection_10Project.xlsxData_ML1" hidden="1">Data_ML[]</definedName>
    <definedName name="Device_AnTuTu">Data_AnTuTu[Device_Clean]</definedName>
    <definedName name="ExternalData_1" localSheetId="6" hidden="1">antutu_android_vs_ios_v4!$A$1:$G$180</definedName>
    <definedName name="ExternalData_2" localSheetId="5" hidden="1">ML_ALL_benchmarks!$A$1:$J$189</definedName>
    <definedName name="ExternalData_3" localSheetId="4" hidden="1">smartphone_cpu_stats!$A$1:$L$126</definedName>
    <definedName name="Slicer_company">#N/A</definedName>
    <definedName name="Slicer_coreCount">#N/A</definedName>
  </definedNames>
  <calcPr calcId="191028"/>
  <pivotCaches>
    <pivotCache cacheId="0" r:id="rId9"/>
    <pivotCache cacheId="1" r:id="rId10"/>
    <pivotCache cacheId="2" r:id="rId11"/>
    <pivotCache cacheId="3" r:id="rId12"/>
    <pivotCache cacheId="4" r:id="rId13"/>
    <pivotCache cacheId="73" r:id="rId14"/>
    <pivotCache cacheId="76" r:id="rId15"/>
    <pivotCache cacheId="79" r:id="rId16"/>
    <pivotCache cacheId="82" r:id="rId17"/>
  </pivotCaches>
  <extLst>
    <ext xmlns:x14="http://schemas.microsoft.com/office/spreadsheetml/2009/9/main" uri="{876F7934-8845-4945-9796-88D515C7AA90}">
      <x14:pivotCaches>
        <pivotCache cacheId="9" r:id="rId18"/>
        <pivotCache cacheId="10"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ML" name="Data_ML" connection="WorksheetConnection_10 - Project.xlsx!Data_ML"/>
          <x15:modelTable id="Data_CPU" name="Data_CPU" connection="WorksheetConnection_10 - Project.xlsx!Data_CPU"/>
          <x15:modelTable id="Data_AnTuTu" name="Data_AnTuTu" connection="WorksheetConnection_10 - Project.xlsx!Data_AnTuTu"/>
        </x15:modelTables>
        <x15:modelRelationships>
          <x15:modelRelationship fromTable="Data_ML" fromColumn="cpuName" toTable="Data_CPU" toColumn="cpuName"/>
          <x15:modelRelationship fromTable="Data_AnTuTu" fromColumn="CPU_Name_Bridge" toTable="Data_CPU" toColumn="CPU_Clea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2" l="1"/>
  <c r="H3" i="2"/>
  <c r="H4" i="2"/>
  <c r="H5" i="2"/>
  <c r="H6" i="2"/>
  <c r="H7" i="2"/>
  <c r="I7" i="2" s="1"/>
  <c r="H8" i="2"/>
  <c r="I8" i="2" s="1"/>
  <c r="J8" i="2" s="1"/>
  <c r="H9" i="2"/>
  <c r="I9" i="2" s="1"/>
  <c r="J9" i="2" s="1"/>
  <c r="H10" i="2"/>
  <c r="I10" i="2" s="1"/>
  <c r="J10" i="2" s="1"/>
  <c r="H11" i="2"/>
  <c r="I11" i="2" s="1"/>
  <c r="J11" i="2" s="1"/>
  <c r="H12" i="2"/>
  <c r="I12" i="2" s="1"/>
  <c r="J12" i="2" s="1"/>
  <c r="H13" i="2"/>
  <c r="I13" i="2" s="1"/>
  <c r="J13" i="2" s="1"/>
  <c r="H14" i="2"/>
  <c r="H15" i="2"/>
  <c r="H16" i="2"/>
  <c r="H17" i="2"/>
  <c r="H18" i="2"/>
  <c r="H19" i="2"/>
  <c r="I19" i="2" s="1"/>
  <c r="J19" i="2" s="1"/>
  <c r="H20" i="2"/>
  <c r="I20" i="2" s="1"/>
  <c r="J20" i="2" s="1"/>
  <c r="H21" i="2"/>
  <c r="I21" i="2" s="1"/>
  <c r="J21" i="2" s="1"/>
  <c r="H22" i="2"/>
  <c r="I22" i="2" s="1"/>
  <c r="J22" i="2" s="1"/>
  <c r="H23" i="2"/>
  <c r="I23" i="2" s="1"/>
  <c r="J23" i="2" s="1"/>
  <c r="H24" i="2"/>
  <c r="I24" i="2" s="1"/>
  <c r="J24" i="2" s="1"/>
  <c r="H25" i="2"/>
  <c r="I25" i="2" s="1"/>
  <c r="J25" i="2" s="1"/>
  <c r="H26" i="2"/>
  <c r="H27" i="2"/>
  <c r="H28" i="2"/>
  <c r="H29" i="2"/>
  <c r="H30" i="2"/>
  <c r="H31" i="2"/>
  <c r="I31" i="2" s="1"/>
  <c r="J31" i="2" s="1"/>
  <c r="H32" i="2"/>
  <c r="I32" i="2" s="1"/>
  <c r="J32" i="2" s="1"/>
  <c r="H33" i="2"/>
  <c r="I33" i="2" s="1"/>
  <c r="J33" i="2" s="1"/>
  <c r="H34" i="2"/>
  <c r="I34" i="2" s="1"/>
  <c r="J34" i="2" s="1"/>
  <c r="H35" i="2"/>
  <c r="I35" i="2" s="1"/>
  <c r="J35" i="2" s="1"/>
  <c r="H36" i="2"/>
  <c r="I36" i="2" s="1"/>
  <c r="J36" i="2" s="1"/>
  <c r="H37" i="2"/>
  <c r="I37" i="2" s="1"/>
  <c r="J37" i="2" s="1"/>
  <c r="H38" i="2"/>
  <c r="H39" i="2"/>
  <c r="H40" i="2"/>
  <c r="H41" i="2"/>
  <c r="H42" i="2"/>
  <c r="H43" i="2"/>
  <c r="I43" i="2" s="1"/>
  <c r="H44" i="2"/>
  <c r="I44" i="2" s="1"/>
  <c r="J44" i="2" s="1"/>
  <c r="H45" i="2"/>
  <c r="I45" i="2" s="1"/>
  <c r="J45" i="2" s="1"/>
  <c r="H46" i="2"/>
  <c r="I46" i="2" s="1"/>
  <c r="J46" i="2" s="1"/>
  <c r="H47" i="2"/>
  <c r="I47" i="2" s="1"/>
  <c r="J47" i="2" s="1"/>
  <c r="H48" i="2"/>
  <c r="I48" i="2" s="1"/>
  <c r="J48" i="2" s="1"/>
  <c r="H49" i="2"/>
  <c r="I49" i="2" s="1"/>
  <c r="J49" i="2" s="1"/>
  <c r="H50" i="2"/>
  <c r="H51" i="2"/>
  <c r="H52" i="2"/>
  <c r="H53" i="2"/>
  <c r="H54" i="2"/>
  <c r="H55" i="2"/>
  <c r="I55" i="2" s="1"/>
  <c r="H56" i="2"/>
  <c r="I56" i="2" s="1"/>
  <c r="J56" i="2" s="1"/>
  <c r="H57" i="2"/>
  <c r="I57" i="2" s="1"/>
  <c r="J57" i="2" s="1"/>
  <c r="H58" i="2"/>
  <c r="I58" i="2" s="1"/>
  <c r="J58" i="2" s="1"/>
  <c r="H59" i="2"/>
  <c r="I59" i="2" s="1"/>
  <c r="J59" i="2" s="1"/>
  <c r="H60" i="2"/>
  <c r="I60" i="2" s="1"/>
  <c r="J60" i="2" s="1"/>
  <c r="H61" i="2"/>
  <c r="I61" i="2" s="1"/>
  <c r="J61" i="2" s="1"/>
  <c r="H62" i="2"/>
  <c r="H63" i="2"/>
  <c r="H64" i="2"/>
  <c r="H65" i="2"/>
  <c r="H66" i="2"/>
  <c r="H67" i="2"/>
  <c r="I67" i="2" s="1"/>
  <c r="J67" i="2" s="1"/>
  <c r="H68" i="2"/>
  <c r="I68" i="2" s="1"/>
  <c r="J68" i="2" s="1"/>
  <c r="H69" i="2"/>
  <c r="I69" i="2" s="1"/>
  <c r="J69" i="2" s="1"/>
  <c r="H70" i="2"/>
  <c r="I70" i="2" s="1"/>
  <c r="J70" i="2" s="1"/>
  <c r="H71" i="2"/>
  <c r="I71" i="2" s="1"/>
  <c r="J71" i="2" s="1"/>
  <c r="H72" i="2"/>
  <c r="I72" i="2" s="1"/>
  <c r="J72" i="2" s="1"/>
  <c r="H73" i="2"/>
  <c r="I73" i="2" s="1"/>
  <c r="J73" i="2" s="1"/>
  <c r="H74" i="2"/>
  <c r="H75" i="2"/>
  <c r="H76" i="2"/>
  <c r="H77" i="2"/>
  <c r="H78" i="2"/>
  <c r="H79" i="2"/>
  <c r="I79" i="2" s="1"/>
  <c r="J79" i="2" s="1"/>
  <c r="H80" i="2"/>
  <c r="I80" i="2" s="1"/>
  <c r="J80" i="2" s="1"/>
  <c r="H81" i="2"/>
  <c r="I81" i="2" s="1"/>
  <c r="J81" i="2" s="1"/>
  <c r="H82" i="2"/>
  <c r="I82" i="2" s="1"/>
  <c r="J82" i="2" s="1"/>
  <c r="H83" i="2"/>
  <c r="I83" i="2" s="1"/>
  <c r="J83" i="2" s="1"/>
  <c r="H84" i="2"/>
  <c r="I84" i="2" s="1"/>
  <c r="J84" i="2" s="1"/>
  <c r="H85" i="2"/>
  <c r="I85" i="2" s="1"/>
  <c r="J85" i="2" s="1"/>
  <c r="H86" i="2"/>
  <c r="H87" i="2"/>
  <c r="H88" i="2"/>
  <c r="H89" i="2"/>
  <c r="H90" i="2"/>
  <c r="H91" i="2"/>
  <c r="I91" i="2" s="1"/>
  <c r="H92" i="2"/>
  <c r="I92" i="2" s="1"/>
  <c r="J92" i="2" s="1"/>
  <c r="H93" i="2"/>
  <c r="I93" i="2" s="1"/>
  <c r="J93" i="2" s="1"/>
  <c r="H94" i="2"/>
  <c r="I94" i="2" s="1"/>
  <c r="J94" i="2" s="1"/>
  <c r="H95" i="2"/>
  <c r="I95" i="2" s="1"/>
  <c r="J95" i="2" s="1"/>
  <c r="H96" i="2"/>
  <c r="I96" i="2" s="1"/>
  <c r="J96" i="2" s="1"/>
  <c r="H97" i="2"/>
  <c r="I97" i="2" s="1"/>
  <c r="J97" i="2" s="1"/>
  <c r="H98" i="2"/>
  <c r="H99" i="2"/>
  <c r="H100" i="2"/>
  <c r="H101" i="2"/>
  <c r="H102" i="2"/>
  <c r="H103" i="2"/>
  <c r="I103" i="2" s="1"/>
  <c r="H104" i="2"/>
  <c r="I104" i="2" s="1"/>
  <c r="J104" i="2" s="1"/>
  <c r="H105" i="2"/>
  <c r="I105" i="2" s="1"/>
  <c r="J105" i="2" s="1"/>
  <c r="H106" i="2"/>
  <c r="I106" i="2" s="1"/>
  <c r="J106" i="2" s="1"/>
  <c r="H107" i="2"/>
  <c r="I107" i="2" s="1"/>
  <c r="J107" i="2" s="1"/>
  <c r="H108" i="2"/>
  <c r="I108" i="2" s="1"/>
  <c r="J108" i="2" s="1"/>
  <c r="H109" i="2"/>
  <c r="I109" i="2" s="1"/>
  <c r="J109" i="2" s="1"/>
  <c r="H110" i="2"/>
  <c r="H111" i="2"/>
  <c r="H112" i="2"/>
  <c r="H113" i="2"/>
  <c r="H114" i="2"/>
  <c r="H115" i="2"/>
  <c r="I115" i="2" s="1"/>
  <c r="J115" i="2" s="1"/>
  <c r="H116" i="2"/>
  <c r="I116" i="2" s="1"/>
  <c r="J116" i="2" s="1"/>
  <c r="H117" i="2"/>
  <c r="I117" i="2" s="1"/>
  <c r="J117" i="2" s="1"/>
  <c r="H118" i="2"/>
  <c r="I118" i="2" s="1"/>
  <c r="J118" i="2" s="1"/>
  <c r="H119" i="2"/>
  <c r="I119" i="2" s="1"/>
  <c r="J119" i="2" s="1"/>
  <c r="H120" i="2"/>
  <c r="I120" i="2" s="1"/>
  <c r="J120" i="2" s="1"/>
  <c r="H121" i="2"/>
  <c r="I121" i="2" s="1"/>
  <c r="J121" i="2" s="1"/>
  <c r="H122" i="2"/>
  <c r="H123" i="2"/>
  <c r="H124" i="2"/>
  <c r="H125" i="2"/>
  <c r="H126" i="2"/>
  <c r="H127" i="2"/>
  <c r="I127" i="2" s="1"/>
  <c r="J127" i="2" s="1"/>
  <c r="H128" i="2"/>
  <c r="I128" i="2" s="1"/>
  <c r="J128" i="2" s="1"/>
  <c r="H129" i="2"/>
  <c r="I129" i="2" s="1"/>
  <c r="J129" i="2" s="1"/>
  <c r="H130" i="2"/>
  <c r="H131" i="2"/>
  <c r="H132" i="2"/>
  <c r="I132" i="2" s="1"/>
  <c r="J132" i="2" s="1"/>
  <c r="H133" i="2"/>
  <c r="I133" i="2" s="1"/>
  <c r="J133" i="2" s="1"/>
  <c r="H134" i="2"/>
  <c r="H135" i="2"/>
  <c r="H136" i="2"/>
  <c r="H137" i="2"/>
  <c r="H138" i="2"/>
  <c r="H139" i="2"/>
  <c r="I139" i="2" s="1"/>
  <c r="J139" i="2" s="1"/>
  <c r="H140" i="2"/>
  <c r="I140" i="2" s="1"/>
  <c r="J140" i="2" s="1"/>
  <c r="H141" i="2"/>
  <c r="I141" i="2" s="1"/>
  <c r="J141" i="2" s="1"/>
  <c r="H142" i="2"/>
  <c r="I142" i="2" s="1"/>
  <c r="J142" i="2" s="1"/>
  <c r="H143" i="2"/>
  <c r="I143" i="2" s="1"/>
  <c r="J143" i="2" s="1"/>
  <c r="H144" i="2"/>
  <c r="I144" i="2" s="1"/>
  <c r="J144" i="2" s="1"/>
  <c r="H145" i="2"/>
  <c r="I145" i="2" s="1"/>
  <c r="J145" i="2" s="1"/>
  <c r="H146" i="2"/>
  <c r="H147" i="2"/>
  <c r="H148" i="2"/>
  <c r="H149" i="2"/>
  <c r="H150" i="2"/>
  <c r="H151" i="2"/>
  <c r="I151" i="2" s="1"/>
  <c r="H152" i="2"/>
  <c r="I152" i="2" s="1"/>
  <c r="J152" i="2" s="1"/>
  <c r="H153" i="2"/>
  <c r="I153" i="2" s="1"/>
  <c r="J153" i="2" s="1"/>
  <c r="H154" i="2"/>
  <c r="I154" i="2" s="1"/>
  <c r="J154" i="2" s="1"/>
  <c r="H155" i="2"/>
  <c r="I155" i="2" s="1"/>
  <c r="J155" i="2" s="1"/>
  <c r="H156" i="2"/>
  <c r="I156" i="2" s="1"/>
  <c r="J156" i="2" s="1"/>
  <c r="H157" i="2"/>
  <c r="I157" i="2" s="1"/>
  <c r="J157" i="2" s="1"/>
  <c r="H158" i="2"/>
  <c r="H159" i="2"/>
  <c r="H160" i="2"/>
  <c r="H161" i="2"/>
  <c r="H162" i="2"/>
  <c r="H163" i="2"/>
  <c r="I163" i="2" s="1"/>
  <c r="H164" i="2"/>
  <c r="I164" i="2" s="1"/>
  <c r="J164" i="2" s="1"/>
  <c r="H165" i="2"/>
  <c r="I165" i="2" s="1"/>
  <c r="J165" i="2" s="1"/>
  <c r="H166" i="2"/>
  <c r="I166" i="2" s="1"/>
  <c r="J166" i="2" s="1"/>
  <c r="H167" i="2"/>
  <c r="I167" i="2" s="1"/>
  <c r="J167" i="2" s="1"/>
  <c r="H168" i="2"/>
  <c r="I168" i="2" s="1"/>
  <c r="J168" i="2" s="1"/>
  <c r="H169" i="2"/>
  <c r="I169" i="2" s="1"/>
  <c r="J169" i="2" s="1"/>
  <c r="H170" i="2"/>
  <c r="H171" i="2"/>
  <c r="H172" i="2"/>
  <c r="H173" i="2"/>
  <c r="H174" i="2"/>
  <c r="H175" i="2"/>
  <c r="I175" i="2" s="1"/>
  <c r="J175" i="2" s="1"/>
  <c r="H176" i="2"/>
  <c r="I176" i="2" s="1"/>
  <c r="J176" i="2" s="1"/>
  <c r="H177" i="2"/>
  <c r="I177" i="2" s="1"/>
  <c r="J177" i="2" s="1"/>
  <c r="H178" i="2"/>
  <c r="H179" i="2"/>
  <c r="H180" i="2"/>
  <c r="I180" i="2" s="1"/>
  <c r="J180" i="2" s="1"/>
  <c r="I2" i="2"/>
  <c r="J2" i="2" s="1"/>
  <c r="I3" i="2"/>
  <c r="I4" i="2"/>
  <c r="I5" i="2"/>
  <c r="I6" i="2"/>
  <c r="I14" i="2"/>
  <c r="I15" i="2"/>
  <c r="J15" i="2" s="1"/>
  <c r="I16" i="2"/>
  <c r="J16" i="2" s="1"/>
  <c r="I17" i="2"/>
  <c r="J17" i="2" s="1"/>
  <c r="I18" i="2"/>
  <c r="J18" i="2" s="1"/>
  <c r="I26" i="2"/>
  <c r="J26" i="2" s="1"/>
  <c r="I27" i="2"/>
  <c r="J27" i="2" s="1"/>
  <c r="I28" i="2"/>
  <c r="J28" i="2" s="1"/>
  <c r="I29" i="2"/>
  <c r="I30" i="2"/>
  <c r="I38" i="2"/>
  <c r="I39" i="2"/>
  <c r="J39" i="2" s="1"/>
  <c r="I40" i="2"/>
  <c r="J40" i="2" s="1"/>
  <c r="I41" i="2"/>
  <c r="J41" i="2" s="1"/>
  <c r="I42" i="2"/>
  <c r="J42" i="2" s="1"/>
  <c r="I50" i="2"/>
  <c r="J50" i="2" s="1"/>
  <c r="I51" i="2"/>
  <c r="J51" i="2" s="1"/>
  <c r="I52" i="2"/>
  <c r="J52" i="2" s="1"/>
  <c r="I53" i="2"/>
  <c r="I54" i="2"/>
  <c r="I62" i="2"/>
  <c r="I63" i="2"/>
  <c r="I64" i="2"/>
  <c r="I65" i="2"/>
  <c r="J65" i="2" s="1"/>
  <c r="I66" i="2"/>
  <c r="J66" i="2" s="1"/>
  <c r="I74" i="2"/>
  <c r="J74" i="2" s="1"/>
  <c r="I75" i="2"/>
  <c r="J75" i="2" s="1"/>
  <c r="I76" i="2"/>
  <c r="J76" i="2" s="1"/>
  <c r="I77" i="2"/>
  <c r="J77" i="2" s="1"/>
  <c r="I78" i="2"/>
  <c r="J78" i="2" s="1"/>
  <c r="I86" i="2"/>
  <c r="I87" i="2"/>
  <c r="I88" i="2"/>
  <c r="I89" i="2"/>
  <c r="J89" i="2" s="1"/>
  <c r="I90" i="2"/>
  <c r="J90" i="2" s="1"/>
  <c r="I98" i="2"/>
  <c r="J98" i="2" s="1"/>
  <c r="I99" i="2"/>
  <c r="J99" i="2" s="1"/>
  <c r="I100" i="2"/>
  <c r="J100" i="2" s="1"/>
  <c r="I101" i="2"/>
  <c r="J101" i="2" s="1"/>
  <c r="I102" i="2"/>
  <c r="J102" i="2" s="1"/>
  <c r="I110" i="2"/>
  <c r="I111" i="2"/>
  <c r="I112" i="2"/>
  <c r="I113" i="2"/>
  <c r="I114" i="2"/>
  <c r="I122" i="2"/>
  <c r="J122" i="2" s="1"/>
  <c r="I123" i="2"/>
  <c r="J123" i="2" s="1"/>
  <c r="I124" i="2"/>
  <c r="J124" i="2" s="1"/>
  <c r="I125" i="2"/>
  <c r="J125" i="2" s="1"/>
  <c r="I126" i="2"/>
  <c r="J126" i="2" s="1"/>
  <c r="I130" i="2"/>
  <c r="J130" i="2" s="1"/>
  <c r="I131" i="2"/>
  <c r="J131" i="2" s="1"/>
  <c r="I134" i="2"/>
  <c r="I135" i="2"/>
  <c r="I136" i="2"/>
  <c r="I137" i="2"/>
  <c r="I138" i="2"/>
  <c r="I146" i="2"/>
  <c r="J146" i="2" s="1"/>
  <c r="I147" i="2"/>
  <c r="J147" i="2" s="1"/>
  <c r="I148" i="2"/>
  <c r="J148" i="2" s="1"/>
  <c r="I149" i="2"/>
  <c r="J149" i="2" s="1"/>
  <c r="I150" i="2"/>
  <c r="J150" i="2" s="1"/>
  <c r="I158" i="2"/>
  <c r="J158" i="2" s="1"/>
  <c r="I159" i="2"/>
  <c r="J159" i="2" s="1"/>
  <c r="I160" i="2"/>
  <c r="I161" i="2"/>
  <c r="I162" i="2"/>
  <c r="I170" i="2"/>
  <c r="I171" i="2"/>
  <c r="I172" i="2"/>
  <c r="J172" i="2" s="1"/>
  <c r="I173" i="2"/>
  <c r="J173" i="2" s="1"/>
  <c r="I174" i="2"/>
  <c r="J174" i="2" s="1"/>
  <c r="I178" i="2"/>
  <c r="J178" i="2" s="1"/>
  <c r="I179" i="2"/>
  <c r="J179" i="2" s="1"/>
  <c r="J3" i="2"/>
  <c r="J4" i="2"/>
  <c r="J5" i="2"/>
  <c r="J6" i="2"/>
  <c r="J7" i="2"/>
  <c r="J14" i="2"/>
  <c r="J29" i="2"/>
  <c r="J30" i="2"/>
  <c r="J38" i="2"/>
  <c r="J43" i="2"/>
  <c r="J53" i="2"/>
  <c r="J54" i="2"/>
  <c r="J55" i="2"/>
  <c r="J62" i="2"/>
  <c r="J63" i="2"/>
  <c r="J64" i="2"/>
  <c r="J86" i="2"/>
  <c r="J87" i="2"/>
  <c r="J88" i="2"/>
  <c r="J91" i="2"/>
  <c r="J103" i="2"/>
  <c r="J110" i="2"/>
  <c r="J111" i="2"/>
  <c r="J112" i="2"/>
  <c r="J113" i="2"/>
  <c r="J114" i="2"/>
  <c r="J134" i="2"/>
  <c r="J135" i="2"/>
  <c r="J136" i="2"/>
  <c r="J137" i="2"/>
  <c r="J138" i="2"/>
  <c r="J151" i="2"/>
  <c r="J160" i="2"/>
  <c r="J161" i="2"/>
  <c r="J162" i="2"/>
  <c r="J163" i="2"/>
  <c r="J170" i="2"/>
  <c r="J171" i="2"/>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M2" i="4"/>
  <c r="M3" i="4"/>
  <c r="M6" i="4"/>
  <c r="M4" i="4"/>
  <c r="M10" i="4"/>
  <c r="M12" i="4"/>
  <c r="M9" i="4"/>
  <c r="M5" i="4"/>
  <c r="M26" i="4"/>
  <c r="M8" i="4"/>
  <c r="M11" i="4"/>
  <c r="M13" i="4"/>
  <c r="M15" i="4"/>
  <c r="M7" i="4"/>
  <c r="M22" i="4"/>
  <c r="M17" i="4"/>
  <c r="M16" i="4"/>
  <c r="M14" i="4"/>
  <c r="M35" i="4"/>
  <c r="M29" i="4"/>
  <c r="M24" i="4"/>
  <c r="M21" i="4"/>
  <c r="M32" i="4"/>
  <c r="M28" i="4"/>
  <c r="M18" i="4"/>
  <c r="M20" i="4"/>
  <c r="M23" i="4"/>
  <c r="M30" i="4"/>
  <c r="M27" i="4"/>
  <c r="M19" i="4"/>
  <c r="M38" i="4"/>
  <c r="M31" i="4"/>
  <c r="M25" i="4"/>
  <c r="M41" i="4"/>
  <c r="M34" i="4"/>
  <c r="M33" i="4"/>
  <c r="M36" i="4"/>
  <c r="M52" i="4"/>
  <c r="M37" i="4"/>
  <c r="M39" i="4"/>
  <c r="M43" i="4"/>
  <c r="M46" i="4"/>
  <c r="M42" i="4"/>
  <c r="M45" i="4"/>
  <c r="M40" i="4"/>
  <c r="M44" i="4"/>
  <c r="M54" i="4"/>
  <c r="M58" i="4"/>
  <c r="M56" i="4"/>
  <c r="M49" i="4"/>
  <c r="M50" i="4"/>
  <c r="M47" i="4"/>
  <c r="M48" i="4"/>
  <c r="M51" i="4"/>
  <c r="M59" i="4"/>
  <c r="M57" i="4"/>
  <c r="M70" i="4"/>
  <c r="M61" i="4"/>
  <c r="M63" i="4"/>
  <c r="M55" i="4"/>
  <c r="M65" i="4"/>
  <c r="M67" i="4"/>
  <c r="M62" i="4"/>
  <c r="M53" i="4"/>
  <c r="M69" i="4"/>
  <c r="M64" i="4"/>
  <c r="M60" i="4"/>
  <c r="M68" i="4"/>
  <c r="M66" i="4"/>
  <c r="M79" i="4"/>
  <c r="M73" i="4"/>
  <c r="M84" i="4"/>
  <c r="M72" i="4"/>
  <c r="M75" i="4"/>
  <c r="M76" i="4"/>
  <c r="M74" i="4"/>
  <c r="M78" i="4"/>
  <c r="M87" i="4"/>
  <c r="M121" i="4"/>
  <c r="M83" i="4"/>
  <c r="M77" i="4"/>
  <c r="M99" i="4"/>
  <c r="M93" i="4"/>
  <c r="M71" i="4"/>
  <c r="M97" i="4"/>
  <c r="M101" i="4"/>
  <c r="M100" i="4"/>
  <c r="M89" i="4"/>
  <c r="M91" i="4"/>
  <c r="M82" i="4"/>
  <c r="M94" i="4"/>
  <c r="M81" i="4"/>
  <c r="M113" i="4"/>
  <c r="M85" i="4"/>
  <c r="M92" i="4"/>
  <c r="M86" i="4"/>
  <c r="M105" i="4"/>
  <c r="M103" i="4"/>
  <c r="M115" i="4"/>
  <c r="M104" i="4"/>
  <c r="M95" i="4"/>
  <c r="M80" i="4"/>
  <c r="M96" i="4"/>
  <c r="M124" i="4"/>
  <c r="M90" i="4"/>
  <c r="M102" i="4"/>
  <c r="M88" i="4"/>
  <c r="M106" i="4"/>
  <c r="M111" i="4"/>
  <c r="M107" i="4"/>
  <c r="M109" i="4"/>
  <c r="M125" i="4"/>
  <c r="M110" i="4"/>
  <c r="M98" i="4"/>
  <c r="M114" i="4"/>
  <c r="M123" i="4"/>
  <c r="M126" i="4"/>
  <c r="M112" i="4"/>
  <c r="M122" i="4"/>
  <c r="M108" i="4"/>
  <c r="M119" i="4"/>
  <c r="M116" i="4"/>
  <c r="M117" i="4"/>
  <c r="M118" i="4"/>
  <c r="M120" i="4"/>
  <c r="N2" i="4"/>
  <c r="N3" i="4"/>
  <c r="N6" i="4"/>
  <c r="N4" i="4"/>
  <c r="N10" i="4"/>
  <c r="N12" i="4"/>
  <c r="N9" i="4"/>
  <c r="N5" i="4"/>
  <c r="N26" i="4"/>
  <c r="N8" i="4"/>
  <c r="N11" i="4"/>
  <c r="N13" i="4"/>
  <c r="N15" i="4"/>
  <c r="N7" i="4"/>
  <c r="N22" i="4"/>
  <c r="N17" i="4"/>
  <c r="N16" i="4"/>
  <c r="N14" i="4"/>
  <c r="N35" i="4"/>
  <c r="N29" i="4"/>
  <c r="N24" i="4"/>
  <c r="N21" i="4"/>
  <c r="N32" i="4"/>
  <c r="N28" i="4"/>
  <c r="N18" i="4"/>
  <c r="N20" i="4"/>
  <c r="N23" i="4"/>
  <c r="N30" i="4"/>
  <c r="N27" i="4"/>
  <c r="N19" i="4"/>
  <c r="N38" i="4"/>
  <c r="N31" i="4"/>
  <c r="N25" i="4"/>
  <c r="N41" i="4"/>
  <c r="N34" i="4"/>
  <c r="N33" i="4"/>
  <c r="N36" i="4"/>
  <c r="N52" i="4"/>
  <c r="N37" i="4"/>
  <c r="N39" i="4"/>
  <c r="N43" i="4"/>
  <c r="N46" i="4"/>
  <c r="N42" i="4"/>
  <c r="N45" i="4"/>
  <c r="N40" i="4"/>
  <c r="N44" i="4"/>
  <c r="N54" i="4"/>
  <c r="N58" i="4"/>
  <c r="N56" i="4"/>
  <c r="N49" i="4"/>
  <c r="N50" i="4"/>
  <c r="N47" i="4"/>
  <c r="N48" i="4"/>
  <c r="N51" i="4"/>
  <c r="N59" i="4"/>
  <c r="N57" i="4"/>
  <c r="N70" i="4"/>
  <c r="N61" i="4"/>
  <c r="N63" i="4"/>
  <c r="N55" i="4"/>
  <c r="N65" i="4"/>
  <c r="N67" i="4"/>
  <c r="N62" i="4"/>
  <c r="N53" i="4"/>
  <c r="N69" i="4"/>
  <c r="N64" i="4"/>
  <c r="N60" i="4"/>
  <c r="N68" i="4"/>
  <c r="N66" i="4"/>
  <c r="N79" i="4"/>
  <c r="N73" i="4"/>
  <c r="N84" i="4"/>
  <c r="N72" i="4"/>
  <c r="N75" i="4"/>
  <c r="N76" i="4"/>
  <c r="N74" i="4"/>
  <c r="N78" i="4"/>
  <c r="N87" i="4"/>
  <c r="N121" i="4"/>
  <c r="N83" i="4"/>
  <c r="N77" i="4"/>
  <c r="N99" i="4"/>
  <c r="N93" i="4"/>
  <c r="N71" i="4"/>
  <c r="N97" i="4"/>
  <c r="N101" i="4"/>
  <c r="N100" i="4"/>
  <c r="N89" i="4"/>
  <c r="N91" i="4"/>
  <c r="N82" i="4"/>
  <c r="N94" i="4"/>
  <c r="N81" i="4"/>
  <c r="N113" i="4"/>
  <c r="N85" i="4"/>
  <c r="N92" i="4"/>
  <c r="N86" i="4"/>
  <c r="N105" i="4"/>
  <c r="N103" i="4"/>
  <c r="N115" i="4"/>
  <c r="N104" i="4"/>
  <c r="N95" i="4"/>
  <c r="N80" i="4"/>
  <c r="N96" i="4"/>
  <c r="N124" i="4"/>
  <c r="N90" i="4"/>
  <c r="N102" i="4"/>
  <c r="N88" i="4"/>
  <c r="N106" i="4"/>
  <c r="N111" i="4"/>
  <c r="N107" i="4"/>
  <c r="N109" i="4"/>
  <c r="N125" i="4"/>
  <c r="N110" i="4"/>
  <c r="N98" i="4"/>
  <c r="N114" i="4"/>
  <c r="N123" i="4"/>
  <c r="N126" i="4"/>
  <c r="N112" i="4"/>
  <c r="N122" i="4"/>
  <c r="N108" i="4"/>
  <c r="N119" i="4"/>
  <c r="N116" i="4"/>
  <c r="N117" i="4"/>
  <c r="N118" i="4"/>
  <c r="N120" i="4"/>
  <c r="O2" i="4"/>
  <c r="O3" i="4"/>
  <c r="O6" i="4"/>
  <c r="O4" i="4"/>
  <c r="O10" i="4"/>
  <c r="O12" i="4"/>
  <c r="O9" i="4"/>
  <c r="O5" i="4"/>
  <c r="O26" i="4"/>
  <c r="O8" i="4"/>
  <c r="O11" i="4"/>
  <c r="O13" i="4"/>
  <c r="O15" i="4"/>
  <c r="O7" i="4"/>
  <c r="O22" i="4"/>
  <c r="O17" i="4"/>
  <c r="O16" i="4"/>
  <c r="O14" i="4"/>
  <c r="O35" i="4"/>
  <c r="O29" i="4"/>
  <c r="O24" i="4"/>
  <c r="O21" i="4"/>
  <c r="O32" i="4"/>
  <c r="O28" i="4"/>
  <c r="O18" i="4"/>
  <c r="O20" i="4"/>
  <c r="O23" i="4"/>
  <c r="O30" i="4"/>
  <c r="O27" i="4"/>
  <c r="O19" i="4"/>
  <c r="O38" i="4"/>
  <c r="O31" i="4"/>
  <c r="O25" i="4"/>
  <c r="O41" i="4"/>
  <c r="O34" i="4"/>
  <c r="O33" i="4"/>
  <c r="O36" i="4"/>
  <c r="O52" i="4"/>
  <c r="O37" i="4"/>
  <c r="O39" i="4"/>
  <c r="O43" i="4"/>
  <c r="O46" i="4"/>
  <c r="O42" i="4"/>
  <c r="O45" i="4"/>
  <c r="O40" i="4"/>
  <c r="O44" i="4"/>
  <c r="O54" i="4"/>
  <c r="O58" i="4"/>
  <c r="O56" i="4"/>
  <c r="O49" i="4"/>
  <c r="O50" i="4"/>
  <c r="O47" i="4"/>
  <c r="O48" i="4"/>
  <c r="O51" i="4"/>
  <c r="O59" i="4"/>
  <c r="O57" i="4"/>
  <c r="O70" i="4"/>
  <c r="O61" i="4"/>
  <c r="O63" i="4"/>
  <c r="O55" i="4"/>
  <c r="O65" i="4"/>
  <c r="O67" i="4"/>
  <c r="O62" i="4"/>
  <c r="O53" i="4"/>
  <c r="O69" i="4"/>
  <c r="O64" i="4"/>
  <c r="O60" i="4"/>
  <c r="O68" i="4"/>
  <c r="O66" i="4"/>
  <c r="O79" i="4"/>
  <c r="O73" i="4"/>
  <c r="O84" i="4"/>
  <c r="O72" i="4"/>
  <c r="O75" i="4"/>
  <c r="O76" i="4"/>
  <c r="O74" i="4"/>
  <c r="O78" i="4"/>
  <c r="O87" i="4"/>
  <c r="O121" i="4"/>
  <c r="O83" i="4"/>
  <c r="O77" i="4"/>
  <c r="O99" i="4"/>
  <c r="O93" i="4"/>
  <c r="O71" i="4"/>
  <c r="O97" i="4"/>
  <c r="O101" i="4"/>
  <c r="O100" i="4"/>
  <c r="O89" i="4"/>
  <c r="O91" i="4"/>
  <c r="O82" i="4"/>
  <c r="O94" i="4"/>
  <c r="O81" i="4"/>
  <c r="O113" i="4"/>
  <c r="O85" i="4"/>
  <c r="O92" i="4"/>
  <c r="O86" i="4"/>
  <c r="O105" i="4"/>
  <c r="O103" i="4"/>
  <c r="O115" i="4"/>
  <c r="O104" i="4"/>
  <c r="O95" i="4"/>
  <c r="O80" i="4"/>
  <c r="O96" i="4"/>
  <c r="O124" i="4"/>
  <c r="O90" i="4"/>
  <c r="O102" i="4"/>
  <c r="O88" i="4"/>
  <c r="O106" i="4"/>
  <c r="O111" i="4"/>
  <c r="O107" i="4"/>
  <c r="O109" i="4"/>
  <c r="O125" i="4"/>
  <c r="O110" i="4"/>
  <c r="O98" i="4"/>
  <c r="O114" i="4"/>
  <c r="O123" i="4"/>
  <c r="O126" i="4"/>
  <c r="O112" i="4"/>
  <c r="O122" i="4"/>
  <c r="O108" i="4"/>
  <c r="O119" i="4"/>
  <c r="O116" i="4"/>
  <c r="O117" i="4"/>
  <c r="O118" i="4"/>
  <c r="O120" i="4"/>
  <c r="P2" i="4"/>
  <c r="P3" i="4"/>
  <c r="P6" i="4"/>
  <c r="P4" i="4"/>
  <c r="P10" i="4"/>
  <c r="P12" i="4"/>
  <c r="P9" i="4"/>
  <c r="P5" i="4"/>
  <c r="P26" i="4"/>
  <c r="P8" i="4"/>
  <c r="P11" i="4"/>
  <c r="P13" i="4"/>
  <c r="P15" i="4"/>
  <c r="P7" i="4"/>
  <c r="P22" i="4"/>
  <c r="P17" i="4"/>
  <c r="P16" i="4"/>
  <c r="P14" i="4"/>
  <c r="P35" i="4"/>
  <c r="P29" i="4"/>
  <c r="P24" i="4"/>
  <c r="P21" i="4"/>
  <c r="P32" i="4"/>
  <c r="P28" i="4"/>
  <c r="P18" i="4"/>
  <c r="P20" i="4"/>
  <c r="P23" i="4"/>
  <c r="P30" i="4"/>
  <c r="P27" i="4"/>
  <c r="P19" i="4"/>
  <c r="P38" i="4"/>
  <c r="P31" i="4"/>
  <c r="P25" i="4"/>
  <c r="P41" i="4"/>
  <c r="P34" i="4"/>
  <c r="P33" i="4"/>
  <c r="P36" i="4"/>
  <c r="P52" i="4"/>
  <c r="P37" i="4"/>
  <c r="P39" i="4"/>
  <c r="P43" i="4"/>
  <c r="P46" i="4"/>
  <c r="P42" i="4"/>
  <c r="P45" i="4"/>
  <c r="P40" i="4"/>
  <c r="P44" i="4"/>
  <c r="P54" i="4"/>
  <c r="P58" i="4"/>
  <c r="P56" i="4"/>
  <c r="P49" i="4"/>
  <c r="P50" i="4"/>
  <c r="P47" i="4"/>
  <c r="P48" i="4"/>
  <c r="P51" i="4"/>
  <c r="P59" i="4"/>
  <c r="P57" i="4"/>
  <c r="P70" i="4"/>
  <c r="P61" i="4"/>
  <c r="P63" i="4"/>
  <c r="P55" i="4"/>
  <c r="P65" i="4"/>
  <c r="P67" i="4"/>
  <c r="P62" i="4"/>
  <c r="P53" i="4"/>
  <c r="P69" i="4"/>
  <c r="P64" i="4"/>
  <c r="P60" i="4"/>
  <c r="P68" i="4"/>
  <c r="P66" i="4"/>
  <c r="P79" i="4"/>
  <c r="P73" i="4"/>
  <c r="P84" i="4"/>
  <c r="P72" i="4"/>
  <c r="P75" i="4"/>
  <c r="P76" i="4"/>
  <c r="P74" i="4"/>
  <c r="P78" i="4"/>
  <c r="P87" i="4"/>
  <c r="P121" i="4"/>
  <c r="P83" i="4"/>
  <c r="P77" i="4"/>
  <c r="P99" i="4"/>
  <c r="P93" i="4"/>
  <c r="P71" i="4"/>
  <c r="P97" i="4"/>
  <c r="P101" i="4"/>
  <c r="P100" i="4"/>
  <c r="P89" i="4"/>
  <c r="P91" i="4"/>
  <c r="P82" i="4"/>
  <c r="P94" i="4"/>
  <c r="P81" i="4"/>
  <c r="P113" i="4"/>
  <c r="P85" i="4"/>
  <c r="P92" i="4"/>
  <c r="P86" i="4"/>
  <c r="P105" i="4"/>
  <c r="P103" i="4"/>
  <c r="P115" i="4"/>
  <c r="P104" i="4"/>
  <c r="P95" i="4"/>
  <c r="P80" i="4"/>
  <c r="P96" i="4"/>
  <c r="P124" i="4"/>
  <c r="P90" i="4"/>
  <c r="P102" i="4"/>
  <c r="P88" i="4"/>
  <c r="P106" i="4"/>
  <c r="P111" i="4"/>
  <c r="P107" i="4"/>
  <c r="P109" i="4"/>
  <c r="P125" i="4"/>
  <c r="P110" i="4"/>
  <c r="P98" i="4"/>
  <c r="P114" i="4"/>
  <c r="P123" i="4"/>
  <c r="P126" i="4"/>
  <c r="P112" i="4"/>
  <c r="P122" i="4"/>
  <c r="P108" i="4"/>
  <c r="P119" i="4"/>
  <c r="P116" i="4"/>
  <c r="P117" i="4"/>
  <c r="P118" i="4"/>
  <c r="P120" i="4"/>
  <c r="Q2" i="4"/>
  <c r="Q3" i="4"/>
  <c r="Q6" i="4"/>
  <c r="Q4" i="4"/>
  <c r="Q10" i="4"/>
  <c r="Q12" i="4"/>
  <c r="Q9" i="4"/>
  <c r="Q5" i="4"/>
  <c r="Q26" i="4"/>
  <c r="Q8" i="4"/>
  <c r="Q11" i="4"/>
  <c r="Q13" i="4"/>
  <c r="Q15" i="4"/>
  <c r="Q7" i="4"/>
  <c r="Q22" i="4"/>
  <c r="Q17" i="4"/>
  <c r="Q16" i="4"/>
  <c r="Q14" i="4"/>
  <c r="Q35" i="4"/>
  <c r="Q29" i="4"/>
  <c r="Q24" i="4"/>
  <c r="Q21" i="4"/>
  <c r="Q32" i="4"/>
  <c r="Q28" i="4"/>
  <c r="Q18" i="4"/>
  <c r="Q20" i="4"/>
  <c r="Q23" i="4"/>
  <c r="Q30" i="4"/>
  <c r="Q27" i="4"/>
  <c r="Q19" i="4"/>
  <c r="Q38" i="4"/>
  <c r="Q31" i="4"/>
  <c r="Q25" i="4"/>
  <c r="Q41" i="4"/>
  <c r="Q34" i="4"/>
  <c r="Q33" i="4"/>
  <c r="Q36" i="4"/>
  <c r="Q52" i="4"/>
  <c r="Q37" i="4"/>
  <c r="Q39" i="4"/>
  <c r="Q43" i="4"/>
  <c r="Q46" i="4"/>
  <c r="Q42" i="4"/>
  <c r="Q45" i="4"/>
  <c r="Q40" i="4"/>
  <c r="Q44" i="4"/>
  <c r="Q54" i="4"/>
  <c r="Q58" i="4"/>
  <c r="Q56" i="4"/>
  <c r="Q49" i="4"/>
  <c r="Q50" i="4"/>
  <c r="Q47" i="4"/>
  <c r="Q48" i="4"/>
  <c r="Q51" i="4"/>
  <c r="Q59" i="4"/>
  <c r="Q57" i="4"/>
  <c r="Q70" i="4"/>
  <c r="Q61" i="4"/>
  <c r="Q63" i="4"/>
  <c r="Q55" i="4"/>
  <c r="Q65" i="4"/>
  <c r="Q67" i="4"/>
  <c r="Q62" i="4"/>
  <c r="Q53" i="4"/>
  <c r="Q69" i="4"/>
  <c r="Q64" i="4"/>
  <c r="Q60" i="4"/>
  <c r="Q68" i="4"/>
  <c r="Q66" i="4"/>
  <c r="Q79" i="4"/>
  <c r="Q73" i="4"/>
  <c r="Q84" i="4"/>
  <c r="Q72" i="4"/>
  <c r="Q75" i="4"/>
  <c r="Q76" i="4"/>
  <c r="Q74" i="4"/>
  <c r="Q78" i="4"/>
  <c r="Q87" i="4"/>
  <c r="Q121" i="4"/>
  <c r="Q83" i="4"/>
  <c r="Q77" i="4"/>
  <c r="Q99" i="4"/>
  <c r="Q93" i="4"/>
  <c r="Q71" i="4"/>
  <c r="Q97" i="4"/>
  <c r="Q101" i="4"/>
  <c r="Q100" i="4"/>
  <c r="Q89" i="4"/>
  <c r="Q91" i="4"/>
  <c r="Q82" i="4"/>
  <c r="Q94" i="4"/>
  <c r="Q81" i="4"/>
  <c r="Q113" i="4"/>
  <c r="Q85" i="4"/>
  <c r="Q92" i="4"/>
  <c r="Q86" i="4"/>
  <c r="Q105" i="4"/>
  <c r="Q103" i="4"/>
  <c r="Q115" i="4"/>
  <c r="Q104" i="4"/>
  <c r="Q95" i="4"/>
  <c r="Q80" i="4"/>
  <c r="Q96" i="4"/>
  <c r="Q124" i="4"/>
  <c r="Q90" i="4"/>
  <c r="Q102" i="4"/>
  <c r="Q88" i="4"/>
  <c r="Q106" i="4"/>
  <c r="Q111" i="4"/>
  <c r="Q107" i="4"/>
  <c r="Q109" i="4"/>
  <c r="Q125" i="4"/>
  <c r="Q110" i="4"/>
  <c r="Q98" i="4"/>
  <c r="Q114" i="4"/>
  <c r="Q123" i="4"/>
  <c r="Q126" i="4"/>
  <c r="Q112" i="4"/>
  <c r="Q122" i="4"/>
  <c r="Q108" i="4"/>
  <c r="Q119" i="4"/>
  <c r="Q116" i="4"/>
  <c r="Q117" i="4"/>
  <c r="Q118" i="4"/>
  <c r="Q120" i="4"/>
  <c r="R2" i="4"/>
  <c r="R3" i="4"/>
  <c r="R6" i="4"/>
  <c r="R4" i="4"/>
  <c r="R10" i="4"/>
  <c r="R12" i="4"/>
  <c r="R9" i="4"/>
  <c r="R5" i="4"/>
  <c r="R26" i="4"/>
  <c r="R8" i="4"/>
  <c r="R11" i="4"/>
  <c r="R13" i="4"/>
  <c r="R15" i="4"/>
  <c r="R7" i="4"/>
  <c r="R22" i="4"/>
  <c r="R17" i="4"/>
  <c r="R16" i="4"/>
  <c r="R14" i="4"/>
  <c r="R35" i="4"/>
  <c r="R29" i="4"/>
  <c r="R24" i="4"/>
  <c r="R21" i="4"/>
  <c r="R32" i="4"/>
  <c r="R28" i="4"/>
  <c r="R18" i="4"/>
  <c r="R20" i="4"/>
  <c r="R23" i="4"/>
  <c r="R30" i="4"/>
  <c r="R27" i="4"/>
  <c r="R19" i="4"/>
  <c r="R38" i="4"/>
  <c r="R31" i="4"/>
  <c r="R25" i="4"/>
  <c r="R41" i="4"/>
  <c r="R34" i="4"/>
  <c r="R33" i="4"/>
  <c r="R36" i="4"/>
  <c r="R52" i="4"/>
  <c r="R37" i="4"/>
  <c r="R39" i="4"/>
  <c r="R43" i="4"/>
  <c r="R46" i="4"/>
  <c r="R42" i="4"/>
  <c r="R45" i="4"/>
  <c r="R40" i="4"/>
  <c r="R44" i="4"/>
  <c r="R54" i="4"/>
  <c r="R58" i="4"/>
  <c r="R56" i="4"/>
  <c r="R49" i="4"/>
  <c r="R50" i="4"/>
  <c r="R47" i="4"/>
  <c r="R48" i="4"/>
  <c r="R51" i="4"/>
  <c r="R59" i="4"/>
  <c r="R57" i="4"/>
  <c r="R70" i="4"/>
  <c r="R61" i="4"/>
  <c r="R63" i="4"/>
  <c r="R55" i="4"/>
  <c r="R65" i="4"/>
  <c r="R67" i="4"/>
  <c r="R62" i="4"/>
  <c r="R53" i="4"/>
  <c r="R69" i="4"/>
  <c r="R64" i="4"/>
  <c r="R60" i="4"/>
  <c r="R68" i="4"/>
  <c r="R66" i="4"/>
  <c r="R79" i="4"/>
  <c r="R73" i="4"/>
  <c r="R84" i="4"/>
  <c r="R72" i="4"/>
  <c r="R75" i="4"/>
  <c r="R76" i="4"/>
  <c r="R74" i="4"/>
  <c r="R78" i="4"/>
  <c r="R87" i="4"/>
  <c r="R121" i="4"/>
  <c r="R83" i="4"/>
  <c r="R77" i="4"/>
  <c r="R99" i="4"/>
  <c r="R93" i="4"/>
  <c r="R71" i="4"/>
  <c r="R97" i="4"/>
  <c r="R101" i="4"/>
  <c r="R100" i="4"/>
  <c r="R89" i="4"/>
  <c r="R91" i="4"/>
  <c r="R82" i="4"/>
  <c r="R94" i="4"/>
  <c r="R81" i="4"/>
  <c r="R113" i="4"/>
  <c r="R85" i="4"/>
  <c r="R92" i="4"/>
  <c r="R86" i="4"/>
  <c r="R105" i="4"/>
  <c r="R103" i="4"/>
  <c r="R115" i="4"/>
  <c r="R104" i="4"/>
  <c r="R95" i="4"/>
  <c r="R80" i="4"/>
  <c r="R96" i="4"/>
  <c r="R124" i="4"/>
  <c r="R90" i="4"/>
  <c r="R102" i="4"/>
  <c r="R88" i="4"/>
  <c r="R106" i="4"/>
  <c r="R111" i="4"/>
  <c r="R107" i="4"/>
  <c r="R109" i="4"/>
  <c r="R125" i="4"/>
  <c r="R110" i="4"/>
  <c r="R98" i="4"/>
  <c r="R114" i="4"/>
  <c r="R123" i="4"/>
  <c r="R126" i="4"/>
  <c r="R112" i="4"/>
  <c r="R122" i="4"/>
  <c r="R108" i="4"/>
  <c r="R119" i="4"/>
  <c r="R116" i="4"/>
  <c r="R117" i="4"/>
  <c r="R118" i="4"/>
  <c r="R120" i="4"/>
  <c r="B4" i="7"/>
  <c r="E2" i="7" s="1"/>
  <c r="C1" i="1"/>
  <c r="A9" i="1"/>
  <c r="A6" i="1"/>
  <c r="B1" i="1"/>
  <c r="A8" i="1"/>
  <c r="A5" i="1"/>
  <c r="A2" i="1"/>
  <c r="A7" i="1"/>
  <c r="A4" i="1"/>
  <c r="A3" i="1"/>
  <c r="L3" i="9"/>
  <c r="L1" i="9"/>
  <c r="L2" i="9"/>
  <c r="L3" i="2" l="1" a="1"/>
  <c r="L3" i="2" s="1"/>
  <c r="C2" i="1"/>
  <c r="C5" i="1"/>
  <c r="C4" i="1"/>
  <c r="B5" i="1"/>
  <c r="C6" i="1"/>
  <c r="C8" i="1"/>
  <c r="B8" i="1"/>
  <c r="B3" i="1"/>
  <c r="B6" i="1"/>
  <c r="B9" i="1"/>
  <c r="C9" i="1"/>
  <c r="C7" i="1"/>
  <c r="B4" i="1"/>
  <c r="B7" i="1"/>
  <c r="B2" i="1"/>
  <c r="C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0A629E-EB49-4F3B-927D-5FEA635E23D5}" keepAlive="1" name="Query - antutu_android_vs_ios_v4" description="Connection to the 'antutu_android_vs_ios_v4' query in the workbook." type="5" refreshedVersion="8" background="1" saveData="1">
    <dbPr connection="Provider=Microsoft.Mashup.OleDb.1;Data Source=$Workbook$;Location=antutu_android_vs_ios_v4;Extended Properties=&quot;&quot;" command="SELECT * FROM [antutu_android_vs_ios_v4]"/>
  </connection>
  <connection id="2" xr16:uid="{84A4D278-7D64-4A69-AD83-539AD1639408}" keepAlive="1" name="Query - ML_ALL_benchmarks" description="Connection to the 'ML_ALL_benchmarks' query in the workbook." type="5" refreshedVersion="8" background="1" saveData="1">
    <dbPr connection="Provider=Microsoft.Mashup.OleDb.1;Data Source=$Workbook$;Location=ML_ALL_benchmarks;Extended Properties=&quot;&quot;" command="SELECT * FROM [ML_ALL_benchmarks]"/>
  </connection>
  <connection id="3" xr16:uid="{1B684AFB-C9B7-46BF-9E82-7EEA95F3A250}" keepAlive="1" name="Query - smartphone_cpu_stats" description="Connection to the 'smartphone_cpu_stats' query in the workbook." type="5" refreshedVersion="8" background="1" saveData="1">
    <dbPr connection="Provider=Microsoft.Mashup.OleDb.1;Data Source=$Workbook$;Location=smartphone_cpu_stats;Extended Properties=&quot;&quot;" command="SELECT * FROM [smartphone_cpu_stats]"/>
  </connection>
  <connection id="4" xr16:uid="{3BD2F67B-D84A-4B17-BFA3-18A1642B815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8615F2F4-2933-43A8-9327-CEF9CB659702}" name="WorksheetConnection_10 - Project.xlsx!Data_AnTuTu" type="102" refreshedVersion="8" minRefreshableVersion="5">
    <extLst>
      <ext xmlns:x15="http://schemas.microsoft.com/office/spreadsheetml/2010/11/main" uri="{DE250136-89BD-433C-8126-D09CA5730AF9}">
        <x15:connection id="Data_AnTuTu">
          <x15:rangePr sourceName="_xlcn.WorksheetConnection_10Project.xlsxData_AnTuTu1"/>
        </x15:connection>
      </ext>
    </extLst>
  </connection>
  <connection id="6" xr16:uid="{F3E6F4B1-352A-40F3-A7D1-074BE71D6A05}" name="WorksheetConnection_10 - Project.xlsx!Data_CPU" type="102" refreshedVersion="8" minRefreshableVersion="5">
    <extLst>
      <ext xmlns:x15="http://schemas.microsoft.com/office/spreadsheetml/2010/11/main" uri="{DE250136-89BD-433C-8126-D09CA5730AF9}">
        <x15:connection id="Data_CPU">
          <x15:rangePr sourceName="_xlcn.WorksheetConnection_10Project.xlsxData_CPU1"/>
        </x15:connection>
      </ext>
    </extLst>
  </connection>
  <connection id="7" xr16:uid="{D4AEE46B-7B4E-4DFF-8DD3-94063722CC2B}" name="WorksheetConnection_10 - Project.xlsx!Data_ML" type="102" refreshedVersion="8" minRefreshableVersion="5">
    <extLst>
      <ext xmlns:x15="http://schemas.microsoft.com/office/spreadsheetml/2010/11/main" uri="{DE250136-89BD-433C-8126-D09CA5730AF9}">
        <x15:connection id="Data_ML">
          <x15:rangePr sourceName="_xlcn.WorksheetConnection_10Project.xlsxData_ML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15">
    <s v="ThisWorkbookDataModel"/>
    <s v="[Data_CPU].[company].&amp;[MediaTek]"/>
    <s v="[Data_CPU].[company].&amp;[HiSilicon]"/>
    <s v="[Data_CPU].[company].&amp;[Google]"/>
    <s v="[Data_CPU].[company].&amp;[Apple]"/>
    <s v="[Data_CPU].[company].[All]"/>
    <s v="[Data_CPU].[company].&amp;[Unisoc]"/>
    <s v="[Data_CPU].[company].&amp;[Samsung]"/>
    <s v="[Data_CPU].[company].&amp;[Qualcomm]"/>
    <s v="[Measures].[Avg_GeekbenchMulti]"/>
    <s v="[Measures].[Avg_AnTuTuScore]"/>
    <s v="[Measures].[Avg_CPUAnTuTu]"/>
    <s v="[Measures].[Count of CPU_Clean]"/>
    <s v="{[Data_CPU].[coreCount].[All]}"/>
    <s v="{[Data_CPU].[company].&amp;[HiSilicon]}"/>
  </metadataStrings>
  <mdxMetadata count="29">
    <mdx n="0" f="m">
      <t c="1">
        <n x="1"/>
      </t>
    </mdx>
    <mdx n="0" f="m">
      <t c="1">
        <n x="2"/>
      </t>
    </mdx>
    <mdx n="0" f="m">
      <t c="1">
        <n x="3"/>
      </t>
    </mdx>
    <mdx n="0" f="m">
      <t c="1">
        <n x="4"/>
      </t>
    </mdx>
    <mdx n="0" f="m">
      <t c="1">
        <n x="5"/>
      </t>
    </mdx>
    <mdx n="0" f="m">
      <t c="1">
        <n x="6"/>
      </t>
    </mdx>
    <mdx n="0" f="m">
      <t c="1">
        <n x="7"/>
      </t>
    </mdx>
    <mdx n="0" f="m">
      <t c="1">
        <n x="8"/>
      </t>
    </mdx>
    <mdx n="0" f="m">
      <t c="1">
        <n x="9"/>
      </t>
    </mdx>
    <mdx n="0" f="v">
      <t c="2" fi="0">
        <n x="2"/>
        <n x="9"/>
      </t>
    </mdx>
    <mdx n="0" f="v">
      <t c="2" fi="0">
        <n x="8"/>
        <n x="9"/>
      </t>
    </mdx>
    <mdx n="0" f="v">
      <t c="2" fi="0">
        <n x="7"/>
        <n x="9"/>
      </t>
    </mdx>
    <mdx n="0" f="v">
      <t c="2" fi="0">
        <n x="6"/>
        <n x="9"/>
      </t>
    </mdx>
    <mdx n="0" f="v">
      <t c="2" fi="0">
        <n x="5"/>
        <n x="9"/>
      </t>
    </mdx>
    <mdx n="0" f="v">
      <t c="2" fi="0">
        <n x="4"/>
        <n x="9"/>
      </t>
    </mdx>
    <mdx n="0" f="v">
      <t c="2" fi="0">
        <n x="3"/>
        <n x="9"/>
      </t>
    </mdx>
    <mdx n="0" f="v">
      <t c="2" fi="0">
        <n x="1"/>
        <n x="9"/>
      </t>
    </mdx>
    <mdx n="0" f="m">
      <t c="1">
        <n x="11"/>
      </t>
    </mdx>
    <mdx n="0" f="v">
      <t c="2" fi="0">
        <n x="8"/>
        <n x="11"/>
      </t>
    </mdx>
    <mdx n="0" f="v">
      <t c="2" fi="0">
        <n x="7"/>
        <n x="11"/>
      </t>
    </mdx>
    <mdx n="0" f="v">
      <t c="2" fi="0">
        <n x="5"/>
        <n x="11"/>
      </t>
    </mdx>
    <mdx n="0" f="v">
      <t c="2" fi="0">
        <n x="6"/>
        <n x="11"/>
      </t>
    </mdx>
    <mdx n="0" f="v">
      <t c="2" fi="0">
        <n x="4"/>
        <n x="11"/>
      </t>
    </mdx>
    <mdx n="0" f="v">
      <t c="2" fi="0">
        <n x="1"/>
        <n x="11"/>
      </t>
    </mdx>
    <mdx n="0" f="v">
      <t c="2" fi="0">
        <n x="2"/>
        <n x="11"/>
      </t>
    </mdx>
    <mdx n="0" f="v">
      <t c="2" fi="0">
        <n x="3"/>
        <n x="11"/>
      </t>
    </mdx>
    <mdx n="0" f="v">
      <t c="3">
        <n x="12"/>
        <n x="14" s="1"/>
        <n x="13" s="1"/>
      </t>
    </mdx>
    <mdx n="0" f="v">
      <t c="3" fi="0">
        <n x="9"/>
        <n x="14" s="1"/>
        <n x="13" s="1"/>
      </t>
    </mdx>
    <mdx n="0" f="v">
      <t c="3" fi="0">
        <n x="10"/>
        <n x="14" s="1"/>
        <n x="13" s="1"/>
      </t>
    </mdx>
  </mdxMetadata>
  <futureMetadata name="XLDAPR" count="1">
    <bk>
      <extLst>
        <ext uri="{bdbb8cdc-fa1e-496e-a857-3c3f30c029c3}">
          <xda:dynamicArrayProperties fDynamic="1" fCollapsed="0"/>
        </ext>
      </extLst>
    </bk>
  </futureMetadata>
  <cellMetadata count="1">
    <bk>
      <rc t="2" v="0"/>
    </bk>
  </cellMetadata>
  <valueMetadata count="2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valueMetadata>
</metadata>
</file>

<file path=xl/sharedStrings.xml><?xml version="1.0" encoding="utf-8"?>
<sst xmlns="http://schemas.openxmlformats.org/spreadsheetml/2006/main" count="1895" uniqueCount="866">
  <si>
    <t>Company</t>
  </si>
  <si>
    <t>Total CPU</t>
  </si>
  <si>
    <t>Year</t>
  </si>
  <si>
    <t>Average of geekbenchMulti</t>
  </si>
  <si>
    <t>Row Labels</t>
  </si>
  <si>
    <t>Sum of geekbenchSingle</t>
  </si>
  <si>
    <t>Sum of geekbenchMulti</t>
  </si>
  <si>
    <t>Apple</t>
  </si>
  <si>
    <t>A14 Bionic</t>
  </si>
  <si>
    <t>Exynos 2100</t>
  </si>
  <si>
    <t>Google</t>
  </si>
  <si>
    <t>A15 Bionic</t>
  </si>
  <si>
    <t>HiSilicon</t>
  </si>
  <si>
    <t>Dimensity 8100</t>
  </si>
  <si>
    <t>MediaTek</t>
  </si>
  <si>
    <t>Dimensity 9000</t>
  </si>
  <si>
    <t>Qualcomm</t>
  </si>
  <si>
    <t>Samsung</t>
  </si>
  <si>
    <t>Kirin 9000</t>
  </si>
  <si>
    <t>Unisoc</t>
  </si>
  <si>
    <t>Kirin 9000E</t>
  </si>
  <si>
    <t>Grand Total</t>
  </si>
  <si>
    <t>Snapdragon 8 Gen 1</t>
  </si>
  <si>
    <t>Snapdragon 888</t>
  </si>
  <si>
    <t>Snapdragon 888 Plus</t>
  </si>
  <si>
    <t>Parameter</t>
  </si>
  <si>
    <t>Multiplier Arsitektur(IPC)</t>
  </si>
  <si>
    <t>Base Clock Speed (MHz)</t>
  </si>
  <si>
    <t>Arsitektur Multiplier</t>
  </si>
  <si>
    <t>Clock Speed (MHz)</t>
  </si>
  <si>
    <t>Proyeksi Skor</t>
  </si>
  <si>
    <t>Count of CPU_Clean</t>
  </si>
  <si>
    <t>Chart ini menampilkan rata-rata skor GeekBench Multi-Core untuk setiap chipset yang diuji. A15 Bionic dari Apple memimpin dengan skor tertinggi sebesar 4.688, diikuti Dimensity 9000 dari MediaTek dengan 4.267 yang menjadikannya chipset Android terkuat dalam perbandingan ini. A14 Bionic berada di posisi ketiga dengan 4.093, sementara chipset seperti Snapdragon 888, Kirin 9000, dan Exynos 2100 mengelompok di kisaran 3.580–3.765 dengan selisih yang tidak terlalu jauh. Exynos 2100 mencatat skor terendah di antara semua chipset flagship yang dibandingkan. Secara keseluruhan, Apple konsisten unggul dalam performa multi-core dibanding seluruh kompetitor Android-nya.</t>
  </si>
  <si>
    <t>Chart ini menampilkan total akumulasi skor GeekBench Single-Core dan Multi-Core untuk setiap chipset dalam dataset. Terlihat bahwa skor multi-core secara konsisten jauh lebih besar dibandingkan skor single-core pada semua chipset, yang mencerminkan keunggulan pemrosesan paralel di era modern. A15 Bionic kembali mencatat nilai tertinggi baik untuk single maupun multi-core, diikuti oleh Dimensity 9000 dan A14 Bionic. Perlu dicatat bahwa nilai sum dipengaruhi oleh jumlah sampel data, sehingga chipset dengan lebih banyak data cenderung memiliki total yang lebih tinggi. Secara umum, chart ini memperkuat kesimpulan bahwa Apple dan MediaTek memimpin dalam hal performa keseluruhan dibanding produsen lainnya.</t>
  </si>
  <si>
    <t>Chart ini menggambarkan tren perkembangan rata-rata performa multi-core chipset smartphone dari tahun 2015 hingga 2022. Pada tahun 2015, rata-rata skor berada di angka 1.036 dan terus meningkat secara bertahap seiring kemajuan teknologi fabrikasi semikonduktor. Terdapat lonjakan yang cukup signifikan pada tahun 2019 yang kemudian sedikit mengalami penurunan di 2020, kemungkinan dipengaruhi oleh komposisi chipset yang masuk dalam dataset di tahun tersebut. Kenaikan paling drastis terjadi pada periode 2021–2022, di mana rata-rata skor melonjak dari 2.560 menjadi 3.127, menandai era chipset dengan proses fabrikasi yang semakin canggih. Tren ini secara keseluruhan menunjukkan bahwa performa chipset smartphone mengalami peningkatan yang sangat pesat dalam kurun waktu tujuh tahun terakhir.</t>
  </si>
  <si>
    <t>Chart ini menampilkan proporsi jumlah varian chipset dari setiap produsen yang tercatat dalam dataset, dengan total 125 chipset secara keseluruhan. Qualcomm mendominasi dengan 42 chipset atau sekitar 33,6% dari total, menjadikannya produsen dengan portofolio terbesar, diikuti Samsung dengan 21 chipset dan MediaTek dengan 33 chipset. HiSilicon dari Huawei menyumbang 16 chipset, sementara Apple hanya memiliki 7 chipset namun terbukti unggul jauh dalam performa berdasarkan chart sebelumnya. Unisoc memiliki representasi paling kecil dengan 5 chipset, dan Google hanya memiliki 1 chipset dalam dataset ini. Hal ini menunjukkan bahwa jumlah varian chipset yang banyak tidak selalu berbanding lurus dengan kualitas performa yang dihasilkan.</t>
  </si>
  <si>
    <t>rank</t>
  </si>
  <si>
    <t>company</t>
  </si>
  <si>
    <t>cpuName</t>
  </si>
  <si>
    <t>geekbenchSingle</t>
  </si>
  <si>
    <t>geekbenchMulti</t>
  </si>
  <si>
    <t>antutu9</t>
  </si>
  <si>
    <t>coreCount</t>
  </si>
  <si>
    <t>coreConfig</t>
  </si>
  <si>
    <t>clockSpeed</t>
  </si>
  <si>
    <t>gpu</t>
  </si>
  <si>
    <t>release_year</t>
  </si>
  <si>
    <t>release_date</t>
  </si>
  <si>
    <t>CPU_Clean</t>
  </si>
  <si>
    <t>release_year2</t>
  </si>
  <si>
    <t>PerformanceTier</t>
  </si>
  <si>
    <t>ScorePerGHz</t>
  </si>
  <si>
    <t>ClockCategory</t>
  </si>
  <si>
    <t>AnTuTuTier</t>
  </si>
  <si>
    <t> (2+4)</t>
  </si>
  <si>
    <t>Apple GPU</t>
  </si>
  <si>
    <t> (1+3+4)</t>
  </si>
  <si>
    <t>Mali-G710</t>
  </si>
  <si>
    <t> (4+4)</t>
  </si>
  <si>
    <t>Mali-G610 MC6</t>
  </si>
  <si>
    <t>Adreno 730</t>
  </si>
  <si>
    <t>Mali-G78 MP22</t>
  </si>
  <si>
    <t>Mali-G78 MP24</t>
  </si>
  <si>
    <t>Adreno 660</t>
  </si>
  <si>
    <t>Mali-G78 MP14</t>
  </si>
  <si>
    <t>Exynos 2200</t>
  </si>
  <si>
    <t>Samsung Xclipse 920</t>
  </si>
  <si>
    <t>A13 Bionic</t>
  </si>
  <si>
    <t>Apple A13 Bionic GPU</t>
  </si>
  <si>
    <t>Snapdragon 865</t>
  </si>
  <si>
    <t>Adreno 650</t>
  </si>
  <si>
    <t>Snapdragon 870</t>
  </si>
  <si>
    <t>Dimensity 1200</t>
  </si>
  <si>
    <t>Mali-G77 MC9</t>
  </si>
  <si>
    <t>Snapdragon 865 Plus</t>
  </si>
  <si>
    <t>Kirin 990 (5G)</t>
  </si>
  <si>
    <t> (2+2+4)</t>
  </si>
  <si>
    <t>Mali G76 MP16</t>
  </si>
  <si>
    <t>Kirin 990 (4G)</t>
  </si>
  <si>
    <t>Snapdragon 778G Plus</t>
  </si>
  <si>
    <t>Adreno 642L</t>
  </si>
  <si>
    <t>A12 Bionic</t>
  </si>
  <si>
    <t>Apple A12 Bionic GPU</t>
  </si>
  <si>
    <t>Exynos 1080</t>
  </si>
  <si>
    <t>Mali-G78 MP10</t>
  </si>
  <si>
    <t>Snapdragon 780G</t>
  </si>
  <si>
    <t>Adreno 642</t>
  </si>
  <si>
    <t>Dimensity 1000 Plus</t>
  </si>
  <si>
    <t>Dimensity 1000</t>
  </si>
  <si>
    <t>Mali-G77 MP9</t>
  </si>
  <si>
    <t>Google Tensor</t>
  </si>
  <si>
    <t>Mali-G78 MP20</t>
  </si>
  <si>
    <t>Snapdragon 778G</t>
  </si>
  <si>
    <t>Snapdragon 855 Plus</t>
  </si>
  <si>
    <t>Adreno 640</t>
  </si>
  <si>
    <t>Exynos 990</t>
  </si>
  <si>
    <t>Mali-G77 MP11</t>
  </si>
  <si>
    <t>Snapdragon 855</t>
  </si>
  <si>
    <t>Dimensity 920</t>
  </si>
  <si>
    <t> (2+6)</t>
  </si>
  <si>
    <t>Mali-G68 MC4</t>
  </si>
  <si>
    <t>Snapdragon 860</t>
  </si>
  <si>
    <t>Kirin 985</t>
  </si>
  <si>
    <t>Mali-G77 MP8</t>
  </si>
  <si>
    <t>Dimensity 1000L</t>
  </si>
  <si>
    <t>Dimensity 1100</t>
  </si>
  <si>
    <t>Kirin 980</t>
  </si>
  <si>
    <t>Mali G76 MP10</t>
  </si>
  <si>
    <t>Kirin 820</t>
  </si>
  <si>
    <t>Mali-G57 MP6</t>
  </si>
  <si>
    <t>Exynos 9825</t>
  </si>
  <si>
    <t>Mali G76 MP12</t>
  </si>
  <si>
    <t>Dimensity 820</t>
  </si>
  <si>
    <t>Mali-G57 MC5</t>
  </si>
  <si>
    <t>A11 Bionic</t>
  </si>
  <si>
    <t>Exynos 9820</t>
  </si>
  <si>
    <t>Snapdragon 845</t>
  </si>
  <si>
    <t>Adreno 630</t>
  </si>
  <si>
    <t>Dimensity 900</t>
  </si>
  <si>
    <t>Exynos 9810</t>
  </si>
  <si>
    <t>Mali-G72MP18</t>
  </si>
  <si>
    <t>Snapdragon 695</t>
  </si>
  <si>
    <t>Adreno 619</t>
  </si>
  <si>
    <t>Snapdragon 768G</t>
  </si>
  <si>
    <t> (1+1+6)</t>
  </si>
  <si>
    <t>Adreno 620</t>
  </si>
  <si>
    <t>Snapdragon 750G</t>
  </si>
  <si>
    <t>Kirin 810</t>
  </si>
  <si>
    <t>Mali-G52 MP6</t>
  </si>
  <si>
    <t>Snapdragon 765</t>
  </si>
  <si>
    <t>Dimensity 810</t>
  </si>
  <si>
    <t>Mali-G57 MC2</t>
  </si>
  <si>
    <t>Dimensity 800</t>
  </si>
  <si>
    <t>Mali-G57 MC4</t>
  </si>
  <si>
    <t>Exynos 1280</t>
  </si>
  <si>
    <t>Mali-G68</t>
  </si>
  <si>
    <t>Helio G96</t>
  </si>
  <si>
    <t>Mali G57 MC2</t>
  </si>
  <si>
    <t>Exynos 980</t>
  </si>
  <si>
    <t>Mali G76 MP5</t>
  </si>
  <si>
    <t>Snapdragon 690</t>
  </si>
  <si>
    <t>Adreno 619L</t>
  </si>
  <si>
    <t>Dimensity 800U</t>
  </si>
  <si>
    <t>Mali-G57 MC3</t>
  </si>
  <si>
    <t>Exynos 880</t>
  </si>
  <si>
    <t>Snapdragon 765G</t>
  </si>
  <si>
    <t>Snapdragon 732G</t>
  </si>
  <si>
    <t>Adreno 618</t>
  </si>
  <si>
    <t>Snapdragon 730</t>
  </si>
  <si>
    <t>Dimensity 700</t>
  </si>
  <si>
    <t>Snapdragon 730G</t>
  </si>
  <si>
    <t>Dimensity 720</t>
  </si>
  <si>
    <t>Snapdragon 835</t>
  </si>
  <si>
    <t>Adreno 540</t>
  </si>
  <si>
    <t>Snapdragon 720G</t>
  </si>
  <si>
    <t>Snapdragon 480</t>
  </si>
  <si>
    <t>Helio G90</t>
  </si>
  <si>
    <t>Mali-G76 MC4</t>
  </si>
  <si>
    <t>Helio G90T</t>
  </si>
  <si>
    <t>Helio G95</t>
  </si>
  <si>
    <t>Mali-G76 3EEMC4</t>
  </si>
  <si>
    <t>Snapdragon 480 Plus</t>
  </si>
  <si>
    <t>Kirin 960</t>
  </si>
  <si>
    <t>Mali-G71 MP8</t>
  </si>
  <si>
    <t>Exynos 8895</t>
  </si>
  <si>
    <t>Mali-G71 MP20</t>
  </si>
  <si>
    <t>Snapdragon 680</t>
  </si>
  <si>
    <t>Adreno 610</t>
  </si>
  <si>
    <t>Snapdragon 678</t>
  </si>
  <si>
    <t>Adreno 612</t>
  </si>
  <si>
    <t>Helio P95</t>
  </si>
  <si>
    <t>PowerVR GM9446</t>
  </si>
  <si>
    <t>Snapdragon 712</t>
  </si>
  <si>
    <t>Adreno 616</t>
  </si>
  <si>
    <t>Helio P90</t>
  </si>
  <si>
    <t>Snapdragon 710</t>
  </si>
  <si>
    <t>A10 Fusion</t>
  </si>
  <si>
    <t> (2+2)</t>
  </si>
  <si>
    <t>PowerVR GT7600</t>
  </si>
  <si>
    <t>Helio P70</t>
  </si>
  <si>
    <t>Mali-G72 MP3</t>
  </si>
  <si>
    <t>Snapdragon 662</t>
  </si>
  <si>
    <t>Tiger T616</t>
  </si>
  <si>
    <t>Mali-G57 MP1</t>
  </si>
  <si>
    <t>Snapdragon 675</t>
  </si>
  <si>
    <t>Kirin 970</t>
  </si>
  <si>
    <t>Mali G72 MP12</t>
  </si>
  <si>
    <t>Snapdragon 665</t>
  </si>
  <si>
    <t>Kirin 710F</t>
  </si>
  <si>
    <t>Mali-G51 MP4</t>
  </si>
  <si>
    <t>Tiger T618</t>
  </si>
  <si>
    <t>ARM Mali-G52 MP2</t>
  </si>
  <si>
    <t>Tiger T610</t>
  </si>
  <si>
    <t>ARM Mali G52 MP2</t>
  </si>
  <si>
    <t>Snapdragon 670</t>
  </si>
  <si>
    <t>Adreno 615</t>
  </si>
  <si>
    <t>Snapdragon 660</t>
  </si>
  <si>
    <t>Adreno 512</t>
  </si>
  <si>
    <t>Exynos 8890</t>
  </si>
  <si>
    <t>Mali-T880 MP12</t>
  </si>
  <si>
    <t>Helio G70</t>
  </si>
  <si>
    <t>Mali-G52 2EEMC2</t>
  </si>
  <si>
    <t>Helio G80</t>
  </si>
  <si>
    <t>Mali-G52 MP2</t>
  </si>
  <si>
    <t>Tiger T700</t>
  </si>
  <si>
    <t>ARM Mali-G52 MC2</t>
  </si>
  <si>
    <t>Helio P65</t>
  </si>
  <si>
    <t>Mali-G52 MC2</t>
  </si>
  <si>
    <t>Kirin 710</t>
  </si>
  <si>
    <t>Helio G85</t>
  </si>
  <si>
    <t>Kirin 950</t>
  </si>
  <si>
    <t>Mali-T880 MP4</t>
  </si>
  <si>
    <t>Helio G88</t>
  </si>
  <si>
    <t>Exynos 9609</t>
  </si>
  <si>
    <t>Exynos 9611</t>
  </si>
  <si>
    <t>Unisoc T606</t>
  </si>
  <si>
    <t>Kirin 710A</t>
  </si>
  <si>
    <t>Mali-G51</t>
  </si>
  <si>
    <t>Snapdragon 460</t>
  </si>
  <si>
    <t>Exynos 9610</t>
  </si>
  <si>
    <t>Helio P60</t>
  </si>
  <si>
    <t>Snapdragon 636</t>
  </si>
  <si>
    <t>Adreno 509</t>
  </si>
  <si>
    <t>Kirin 955</t>
  </si>
  <si>
    <t>ARM Mali-T880 MP4</t>
  </si>
  <si>
    <t>Snapdragon 632</t>
  </si>
  <si>
    <t>Adreno 506</t>
  </si>
  <si>
    <t>Exynos 7885</t>
  </si>
  <si>
    <t>Mali-G71 MP2</t>
  </si>
  <si>
    <t>Exynos 7904</t>
  </si>
  <si>
    <t>Snapdragon 630</t>
  </si>
  <si>
    <t>Adreno 508</t>
  </si>
  <si>
    <t>Apple A9</t>
  </si>
  <si>
    <t> (2)</t>
  </si>
  <si>
    <t>Helio P35</t>
  </si>
  <si>
    <t>IMG PowerVR GE8320</t>
  </si>
  <si>
    <t>Exynos 850</t>
  </si>
  <si>
    <t> (8)</t>
  </si>
  <si>
    <t>Mali-G52 MP1</t>
  </si>
  <si>
    <t>Exynos 7884B</t>
  </si>
  <si>
    <t>Kirin 659</t>
  </si>
  <si>
    <t>Mali-T830 MP2</t>
  </si>
  <si>
    <t>Exynos 7420</t>
  </si>
  <si>
    <t>Mali-T760 MP8</t>
  </si>
  <si>
    <t>Helio P23</t>
  </si>
  <si>
    <t>Snapdragon 439</t>
  </si>
  <si>
    <t>Adreno 505</t>
  </si>
  <si>
    <t>Snapdragon 820</t>
  </si>
  <si>
    <t>Adreno 530</t>
  </si>
  <si>
    <t>Exynos 7872</t>
  </si>
  <si>
    <t>Mali-G71 MP1</t>
  </si>
  <si>
    <t>Helio A25</t>
  </si>
  <si>
    <t>PowerVR GE8320</t>
  </si>
  <si>
    <t>Snapdragon 821</t>
  </si>
  <si>
    <t>Helio G35</t>
  </si>
  <si>
    <t>Helio G25</t>
  </si>
  <si>
    <t>device</t>
  </si>
  <si>
    <t>cores</t>
  </si>
  <si>
    <t>clock</t>
  </si>
  <si>
    <t>cpuScore</t>
  </si>
  <si>
    <t>gpuScore</t>
  </si>
  <si>
    <t>npuScore</t>
  </si>
  <si>
    <t>iPhone 13 Pro Max</t>
  </si>
  <si>
    <t xml:space="preserve">A15 Bionic   </t>
  </si>
  <si>
    <t>iPhone 13 Pro</t>
  </si>
  <si>
    <t>iPhone 13 mini</t>
  </si>
  <si>
    <t>iPad Pro (12.9-inch 5th generation)</t>
  </si>
  <si>
    <t xml:space="preserve">M1    </t>
  </si>
  <si>
    <t>iPad Pro (11-inch 3rd generation)</t>
  </si>
  <si>
    <t>iPhone 13</t>
  </si>
  <si>
    <t>iPad mini (6th generation)</t>
  </si>
  <si>
    <t>iPad Air (4th generation)</t>
  </si>
  <si>
    <t xml:space="preserve">A14 Bionic   </t>
  </si>
  <si>
    <t>iPhone 12</t>
  </si>
  <si>
    <t>iPhone 12 Mini</t>
  </si>
  <si>
    <t>iPhone 12 Pro Max</t>
  </si>
  <si>
    <t>iPhone 12 Pro</t>
  </si>
  <si>
    <t>Google Pixel 6</t>
  </si>
  <si>
    <t xml:space="preserve">Tensor    </t>
  </si>
  <si>
    <t>Google Pixel 6 Pro</t>
  </si>
  <si>
    <t>iPhone 11 Pro Max</t>
  </si>
  <si>
    <t xml:space="preserve">A13 Bionic   </t>
  </si>
  <si>
    <t>iPhone 11</t>
  </si>
  <si>
    <t>iPhone 11 Pro</t>
  </si>
  <si>
    <t>iPhone SE (2nd generation)</t>
  </si>
  <si>
    <t>Microsoft Surface Duo 2</t>
  </si>
  <si>
    <t xml:space="preserve">Snapdragon 888   </t>
  </si>
  <si>
    <t>Xiaomi 11T Pro</t>
  </si>
  <si>
    <t>iPad Pro (12.9-inch 3rd Generation)</t>
  </si>
  <si>
    <t xml:space="preserve">A12X Bionic   </t>
  </si>
  <si>
    <t>iPad Pro 12.9-inch (4th generation)</t>
  </si>
  <si>
    <t xml:space="preserve">A12Z Bionic   </t>
  </si>
  <si>
    <t>iPad Pro 11-inch (2nd generation)</t>
  </si>
  <si>
    <t>iPad Pro (11-inch)</t>
  </si>
  <si>
    <t>Samsung Galaxy Z Fold3 5G</t>
  </si>
  <si>
    <t>iPad Air (3rd generation)</t>
  </si>
  <si>
    <t xml:space="preserve">A12 Bionic   </t>
  </si>
  <si>
    <t>iPad mini (5th generation)</t>
  </si>
  <si>
    <t>iPhone XR</t>
  </si>
  <si>
    <t>iPad (8th generation)</t>
  </si>
  <si>
    <t>iPhone XS</t>
  </si>
  <si>
    <t>iPhone XS Max</t>
  </si>
  <si>
    <t>Samsung Galaxy Z Flip3</t>
  </si>
  <si>
    <t>Sony Xperia 1 III</t>
  </si>
  <si>
    <t>Xiaomi 11T</t>
  </si>
  <si>
    <t xml:space="preserve">Dimensity 1200   </t>
  </si>
  <si>
    <t>Realme X7 Pro</t>
  </si>
  <si>
    <t xml:space="preserve">Dimensity 1000+   </t>
  </si>
  <si>
    <t>OnePlus Nord 2 5G</t>
  </si>
  <si>
    <t>ASUS ROG Phone 3</t>
  </si>
  <si>
    <t xml:space="preserve">Snapdragon 865+   </t>
  </si>
  <si>
    <t>Xiaomi Redmi K30 Ultra</t>
  </si>
  <si>
    <t>Asus ROG Phone 5</t>
  </si>
  <si>
    <t>Realme GT Neo</t>
  </si>
  <si>
    <t>Xiaomi 11 Lite 5G NE</t>
  </si>
  <si>
    <t xml:space="preserve">Snapdragon 778G   </t>
  </si>
  <si>
    <t>Xiaomi Mi 11</t>
  </si>
  <si>
    <t>Realme GT 5G</t>
  </si>
  <si>
    <t>OnePlus 9R</t>
  </si>
  <si>
    <t xml:space="preserve">Snapdragon 870   </t>
  </si>
  <si>
    <t>Xiaomi Mi 11 Ultra</t>
  </si>
  <si>
    <t>Asus Zenfone 7</t>
  </si>
  <si>
    <t xml:space="preserve">Snapdragon 865   </t>
  </si>
  <si>
    <t>OnePlus 9R 5G</t>
  </si>
  <si>
    <t>Xiaomi Redmi K40</t>
  </si>
  <si>
    <t>Realme GT Neo2</t>
  </si>
  <si>
    <t>Xiaomi Poco F3</t>
  </si>
  <si>
    <t>Xiaomi Mi 10T 5G</t>
  </si>
  <si>
    <t>OnePlus 8T+ 5G</t>
  </si>
  <si>
    <t>Xiaomi Mi 11X</t>
  </si>
  <si>
    <t>Sony Xperia 5 II</t>
  </si>
  <si>
    <t>Xiaomi Mi 10T Pro 5G</t>
  </si>
  <si>
    <t>Realme GT Master</t>
  </si>
  <si>
    <t>Samsung Galaxy Note10+</t>
  </si>
  <si>
    <t xml:space="preserve">Snapdragon 855   </t>
  </si>
  <si>
    <t>OnePlus 8T</t>
  </si>
  <si>
    <t>OnePlus 8 Pro</t>
  </si>
  <si>
    <t>Samsung Galaxy Z Fold2 5G</t>
  </si>
  <si>
    <t>Samsung Galaxy Note20 5G</t>
  </si>
  <si>
    <t>Sony Xperia 1 II</t>
  </si>
  <si>
    <t>Xiaomi Poco F2 Pro</t>
  </si>
  <si>
    <t>Samsung Galaxy Tab S7+</t>
  </si>
  <si>
    <t>Samsung Galaxy Note20 Ultra 5G</t>
  </si>
  <si>
    <t>Samsung Galaxy Tab S7</t>
  </si>
  <si>
    <t>Samsung Galaxy Tab S6</t>
  </si>
  <si>
    <t>Google Pixel 4 XL</t>
  </si>
  <si>
    <t>Samsung Galaxy A90 5G</t>
  </si>
  <si>
    <t>Asus Zenfone 8</t>
  </si>
  <si>
    <t>Google Pixel 4</t>
  </si>
  <si>
    <t>OnePlus 7T Pro 5G</t>
  </si>
  <si>
    <t xml:space="preserve">Snapdragon 855+   </t>
  </si>
  <si>
    <t>OnePlus 8</t>
  </si>
  <si>
    <t>Xiaomi Mi 9</t>
  </si>
  <si>
    <t>Xiaomi Poco X3 Pro</t>
  </si>
  <si>
    <t xml:space="preserve">Snapdragon 860   </t>
  </si>
  <si>
    <t>Sony Xperia 1</t>
  </si>
  <si>
    <t>iPad Pro (10.5-inch)</t>
  </si>
  <si>
    <t xml:space="preserve">A10X Fusion   </t>
  </si>
  <si>
    <t>iPad Pro (12.9-inch 2nd Generation)</t>
  </si>
  <si>
    <t>OnePlus 7T</t>
  </si>
  <si>
    <t>OnePlus 7</t>
  </si>
  <si>
    <t>Realme X2 Pro</t>
  </si>
  <si>
    <t>OnePlus 7 Pro</t>
  </si>
  <si>
    <t>OnePlus 7T Pro</t>
  </si>
  <si>
    <t>LG V50 ThinQ 5G</t>
  </si>
  <si>
    <t>Xiaomi Mi 9T Pro</t>
  </si>
  <si>
    <t>LG G8 ThinQ</t>
  </si>
  <si>
    <t>Samsung Galaxy Note10</t>
  </si>
  <si>
    <t>Xiaomi Redmi K20</t>
  </si>
  <si>
    <t xml:space="preserve">Snapdragon 730   </t>
  </si>
  <si>
    <t>Samsung Galaxy Note20 Ultra</t>
  </si>
  <si>
    <t xml:space="preserve">Exynos 990   </t>
  </si>
  <si>
    <t>iPhone 8</t>
  </si>
  <si>
    <t xml:space="preserve">A11 Bionic   </t>
  </si>
  <si>
    <t>iPhone X</t>
  </si>
  <si>
    <t>iPhone 8 Plus</t>
  </si>
  <si>
    <t>Google Pixel 3</t>
  </si>
  <si>
    <t xml:space="preserve">Snapdragon 845   </t>
  </si>
  <si>
    <t>Huawei Mate 40 Pro</t>
  </si>
  <si>
    <t xml:space="preserve">Kirin 9000   </t>
  </si>
  <si>
    <t>Samsung Galaxy A71 5G</t>
  </si>
  <si>
    <t xml:space="preserve">Exynos 980   </t>
  </si>
  <si>
    <t>Samsung Galaxy A52 5G</t>
  </si>
  <si>
    <t xml:space="preserve">Snapdragon 750G   </t>
  </si>
  <si>
    <t>iPad (6th generation)</t>
  </si>
  <si>
    <t xml:space="preserve">A10 Fusion   </t>
  </si>
  <si>
    <t>Google Pixel 5</t>
  </si>
  <si>
    <t xml:space="preserve">Snapdragon 765G   </t>
  </si>
  <si>
    <t>Realme 8</t>
  </si>
  <si>
    <t xml:space="preserve">Helio G95   </t>
  </si>
  <si>
    <t>iPad (7th generation)</t>
  </si>
  <si>
    <t>Google Pixel 4a 5G</t>
  </si>
  <si>
    <t>iPhone 7 Plus</t>
  </si>
  <si>
    <t>iPhone 7</t>
  </si>
  <si>
    <t>Huawei Mate 30 Pro 5G</t>
  </si>
  <si>
    <t xml:space="preserve">Kirin 990   </t>
  </si>
  <si>
    <t>iPad Pro (12.9-inch)</t>
  </si>
  <si>
    <t xml:space="preserve">A9X    </t>
  </si>
  <si>
    <t>iPad Pro (9.7-inch)</t>
  </si>
  <si>
    <t>OnePlus Nord</t>
  </si>
  <si>
    <t>Realme 7</t>
  </si>
  <si>
    <t>Google Pixel 3 XL</t>
  </si>
  <si>
    <t>Huawei Mate 20 Pro</t>
  </si>
  <si>
    <t xml:space="preserve">Kirin 980   </t>
  </si>
  <si>
    <t>OnePlus 6T</t>
  </si>
  <si>
    <t>Samsung Galaxy Note10 5G</t>
  </si>
  <si>
    <t xml:space="preserve">Exynos 9825   </t>
  </si>
  <si>
    <t>Samsung Galaxy A52</t>
  </si>
  <si>
    <t xml:space="preserve">Snapdragon 720G   </t>
  </si>
  <si>
    <t>OnePlus 6</t>
  </si>
  <si>
    <t>Google Pixel 4a</t>
  </si>
  <si>
    <t xml:space="preserve">Snapdragon 730G   </t>
  </si>
  <si>
    <t>Samsung Galaxy A52S 5G</t>
  </si>
  <si>
    <t>Samsung Galaxy A72</t>
  </si>
  <si>
    <t>Xiaomi Poco X3 NFC</t>
  </si>
  <si>
    <t xml:space="preserve">Snapdragon 732G   </t>
  </si>
  <si>
    <t>Samsung Galaxy A71</t>
  </si>
  <si>
    <t>Huawei nova 5T</t>
  </si>
  <si>
    <t>Huawei Honor View 20</t>
  </si>
  <si>
    <t>Huawei P30 Pro</t>
  </si>
  <si>
    <t>Huawei P30</t>
  </si>
  <si>
    <t>iPod (7th generation)</t>
  </si>
  <si>
    <t>Huawei Mate 20</t>
  </si>
  <si>
    <t>Xiaomi Mix 2S</t>
  </si>
  <si>
    <t>Xiaomi Mi 8</t>
  </si>
  <si>
    <t>Xiaomi Pocophone F1</t>
  </si>
  <si>
    <t>Samsung Galaxy A51 5G</t>
  </si>
  <si>
    <t>Xiaomi Redmi Note 10 Pro</t>
  </si>
  <si>
    <t>Samsung Galaxy Note 9</t>
  </si>
  <si>
    <t>iPad (5th generation)</t>
  </si>
  <si>
    <t xml:space="preserve">A9    </t>
  </si>
  <si>
    <t>Xiaomi Redmi Note 9S</t>
  </si>
  <si>
    <t>Xiaomi Poco F1</t>
  </si>
  <si>
    <t>iPhone SE</t>
  </si>
  <si>
    <t>LG G7 ThinQ</t>
  </si>
  <si>
    <t>Xiaomi Redmi Note 9 Pro</t>
  </si>
  <si>
    <t>Sony Xperia XZ2 Compact</t>
  </si>
  <si>
    <t>Sony Xperia XZ2</t>
  </si>
  <si>
    <t>Samsung Galaxy S9</t>
  </si>
  <si>
    <t>iPhone 6s Plus</t>
  </si>
  <si>
    <t>iPhone 6s</t>
  </si>
  <si>
    <t>Samsung Galaxy F62</t>
  </si>
  <si>
    <t>Xiaomi Mi 9T</t>
  </si>
  <si>
    <t>Xiaomi Mi 11 Lite</t>
  </si>
  <si>
    <t xml:space="preserve">Snapdragon 780G   </t>
  </si>
  <si>
    <t>Google Pixel 3a XL</t>
  </si>
  <si>
    <t xml:space="preserve">Snapdragon 670   </t>
  </si>
  <si>
    <t>Realme 5 Pro</t>
  </si>
  <si>
    <t xml:space="preserve">Snapdragon 712   </t>
  </si>
  <si>
    <t>Huawei P40</t>
  </si>
  <si>
    <t>Xiaomi Redmi Note 10</t>
  </si>
  <si>
    <t xml:space="preserve">Snapdragon 678   </t>
  </si>
  <si>
    <t>Google Pixel 3a</t>
  </si>
  <si>
    <t>Samsung Galaxy Note10 Lite</t>
  </si>
  <si>
    <t xml:space="preserve">Exynos 9810   </t>
  </si>
  <si>
    <t>Xiaomi Redmi Note 7 Pro</t>
  </si>
  <si>
    <t xml:space="preserve">Snapdragon 675   </t>
  </si>
  <si>
    <t>Samsung Galaxy Tab A7</t>
  </si>
  <si>
    <t xml:space="preserve">Snapdragon 662   </t>
  </si>
  <si>
    <t>iPad Air 2</t>
  </si>
  <si>
    <t xml:space="preserve">A8X    </t>
  </si>
  <si>
    <t>Xiaomi Redmi Note 8</t>
  </si>
  <si>
    <t xml:space="preserve">Snapdragon 665   </t>
  </si>
  <si>
    <t>Google Pixel XL</t>
  </si>
  <si>
    <t xml:space="preserve">MSM8996 Pro-AB Snapdragon 821 </t>
  </si>
  <si>
    <t>Google Pixel 2 XL</t>
  </si>
  <si>
    <t xml:space="preserve">Snapdragon 835   </t>
  </si>
  <si>
    <t>Xiaomi Redmi Note 8T</t>
  </si>
  <si>
    <t>OnePlus 5T</t>
  </si>
  <si>
    <t>Essential PH-1</t>
  </si>
  <si>
    <t>Google Pixel 2</t>
  </si>
  <si>
    <t>Google Pixel</t>
  </si>
  <si>
    <t>iPad mini 4</t>
  </si>
  <si>
    <t xml:space="preserve">A8    </t>
  </si>
  <si>
    <t>Samsung Galaxy S8</t>
  </si>
  <si>
    <t>NVIDIA SHIELD Android TV</t>
  </si>
  <si>
    <t>NVIDIA</t>
  </si>
  <si>
    <t xml:space="preserve">Tegra X1   </t>
  </si>
  <si>
    <t>Samsung Galaxy Tab S6 Lite</t>
  </si>
  <si>
    <t xml:space="preserve">Exynos 9611   </t>
  </si>
  <si>
    <t>Huawei P30 lite</t>
  </si>
  <si>
    <t xml:space="preserve">Kirin 710   </t>
  </si>
  <si>
    <t>Sony Xperia XZ1</t>
  </si>
  <si>
    <t>Xiaomi Mi A2</t>
  </si>
  <si>
    <t xml:space="preserve">Snapdragon 660   </t>
  </si>
  <si>
    <t>Samsung Galaxy A51</t>
  </si>
  <si>
    <t>Samsung Galaxy M30s</t>
  </si>
  <si>
    <t>Xiaomi Redmi Note 7</t>
  </si>
  <si>
    <t>Samsung Galaxy M31</t>
  </si>
  <si>
    <t>Xiaomi Redmi 10X 4G</t>
  </si>
  <si>
    <t xml:space="preserve">Helio G85   </t>
  </si>
  <si>
    <t xml:space="preserve">Exynos 8895 Octa  </t>
  </si>
  <si>
    <t>Samsung Galaxy Note 8</t>
  </si>
  <si>
    <t>Xiaomi Redmi 9</t>
  </si>
  <si>
    <t xml:space="preserve">Helio G80   </t>
  </si>
  <si>
    <t>Samsung Galaxy Tab S5e</t>
  </si>
  <si>
    <t>Samsung Galaxy A50</t>
  </si>
  <si>
    <t xml:space="preserve">Exynos 9610   </t>
  </si>
  <si>
    <t>Sony Xperia XZ Premium</t>
  </si>
  <si>
    <t>Samsung Galaxy S6</t>
  </si>
  <si>
    <t xml:space="preserve">Exynos 7420   </t>
  </si>
  <si>
    <t>Samsung Galaxy S8+</t>
  </si>
  <si>
    <t>Samsung Galaxy A20</t>
  </si>
  <si>
    <t xml:space="preserve">Exynos 7884   </t>
  </si>
  <si>
    <t>Samsung Galaxy Note FE</t>
  </si>
  <si>
    <t xml:space="preserve">Exynos 8890   </t>
  </si>
  <si>
    <t>Huawei Nexus 6P</t>
  </si>
  <si>
    <t xml:space="preserve">Snapdragon 810   </t>
  </si>
  <si>
    <t>LG Nexus 5X</t>
  </si>
  <si>
    <t xml:space="preserve">Snapdragon 808   </t>
  </si>
  <si>
    <t>LG V30</t>
  </si>
  <si>
    <t>Samsung Galaxy A21s</t>
  </si>
  <si>
    <t xml:space="preserve">Exynos 850   </t>
  </si>
  <si>
    <t>Device</t>
  </si>
  <si>
    <t>brand</t>
  </si>
  <si>
    <t>CPU</t>
  </si>
  <si>
    <t>GPU</t>
  </si>
  <si>
    <t>MEM</t>
  </si>
  <si>
    <t>UX</t>
  </si>
  <si>
    <t>Total Score</t>
  </si>
  <si>
    <t>Device_Clean</t>
  </si>
  <si>
    <t>CPU_Name_Bridge</t>
  </si>
  <si>
    <t>Core_Count_Lookup</t>
  </si>
  <si>
    <t>Named Range</t>
  </si>
  <si>
    <t>iPad Pro 5 (12.9-inch) (8+256)</t>
  </si>
  <si>
    <r>
      <t>Penggunaan Named Range 1</t>
    </r>
    <r>
      <rPr>
        <sz val="11"/>
        <rFont val="Calibri"/>
        <family val="2"/>
        <scheme val="minor"/>
      </rPr>
      <t xml:space="preserve"> (</t>
    </r>
    <r>
      <rPr>
        <sz val="11"/>
        <color rgb="FFFFC000"/>
        <rFont val="Calibri"/>
        <family val="2"/>
        <scheme val="minor"/>
      </rPr>
      <t>Device_AnTuTu</t>
    </r>
    <r>
      <rPr>
        <sz val="11"/>
        <color theme="1"/>
        <rFont val="Calibri"/>
        <family val="2"/>
        <scheme val="minor"/>
      </rPr>
      <t>: Device_Clean) untuk validasi keunikan</t>
    </r>
  </si>
  <si>
    <t>iPad Pro 5 (11-inch) (8+128)</t>
  </si>
  <si>
    <t>iPad Air 5 (8+64)</t>
  </si>
  <si>
    <t>Red Magic 7 (S-8 Gen 1 18/256)</t>
  </si>
  <si>
    <t>Red Magic</t>
  </si>
  <si>
    <t>Redmi K50 Pro (M-9000 8/128)</t>
  </si>
  <si>
    <t>Xiaomi</t>
  </si>
  <si>
    <t>Mi 12 Pro (S-8 Gen 1 12/256)</t>
  </si>
  <si>
    <t>Motorola Edge 30 Pro (S-8 Gen 1 12/256)</t>
  </si>
  <si>
    <t>Motorola</t>
  </si>
  <si>
    <t>iPad Pro 4 (12.9-inch) (6+256)</t>
  </si>
  <si>
    <t>realme GT2 Pro (S-8 Gen 1 12/256)</t>
  </si>
  <si>
    <t>realme</t>
  </si>
  <si>
    <t>iQOO 9 Pro (S-8 Gen 1 8/256)</t>
  </si>
  <si>
    <t>iQOO</t>
  </si>
  <si>
    <t>iPad Pro 3 (12.9-inch) (4+256)</t>
  </si>
  <si>
    <t>iPhone 13 Pro Max (6+1024)</t>
  </si>
  <si>
    <t>Mi 12 (S-8 Gen 1 8/256)</t>
  </si>
  <si>
    <t>Galaxy S22 Ultra 5G (S-8 Gen 1 12/512)</t>
  </si>
  <si>
    <t>iPhone 13 Pro (6+1024)</t>
  </si>
  <si>
    <t>iPad Pro 3 (11-inch) (4+256)</t>
  </si>
  <si>
    <t>iPad Pro 4 (11-inch) (6+128)</t>
  </si>
  <si>
    <t>Galaxy S22 Ultra 5G (E-2200 12/512)</t>
  </si>
  <si>
    <t>iPad mini 6 (4+64)</t>
  </si>
  <si>
    <t>Galaxy S22+ 5G (S-8 Gen 1 8/256)</t>
  </si>
  <si>
    <t>iPhone 13 mini (4+128)</t>
  </si>
  <si>
    <t>iPhone 13 (4+128)</t>
  </si>
  <si>
    <t>Galaxy S22+ 5G (E-2200 8/256)</t>
  </si>
  <si>
    <t>OPPO Find X5 Pro (S-8 Gen 1 12/256)</t>
  </si>
  <si>
    <t>OPPO</t>
  </si>
  <si>
    <t>Galaxy S22 5G (E-2200 8/256)</t>
  </si>
  <si>
    <t>OnePlus 10 Pro 5G (S-8 Gen 1 12/256)</t>
  </si>
  <si>
    <t>OnePlus</t>
  </si>
  <si>
    <t>iPad Air 4 (4+64)</t>
  </si>
  <si>
    <t>ROG Phone 5s (S-888+ 16/512)</t>
  </si>
  <si>
    <t>Asus</t>
  </si>
  <si>
    <t>iPhone SE3 (4+128)</t>
  </si>
  <si>
    <t>iPhone 12 Pro Max (6+256)</t>
  </si>
  <si>
    <t>realme GT (S-888 12/256)</t>
  </si>
  <si>
    <t>iQOO 9 SE (S-888 8/128)</t>
  </si>
  <si>
    <t>Motorola Moto G200 5G (S-888+ 8/128)</t>
  </si>
  <si>
    <t>Galaxy S22 5G (S-8 Gen 1 8/256)</t>
  </si>
  <si>
    <t>iPhone 12 (4+128)</t>
  </si>
  <si>
    <t>iPhone 12 Pro (6+128)</t>
  </si>
  <si>
    <t>OnePlus 9 Pro (S-888 12/256)</t>
  </si>
  <si>
    <t>iPhone 12 mini (4+128)</t>
  </si>
  <si>
    <t>Mi 11i (S-888 8/256)</t>
  </si>
  <si>
    <t>Asus Zenfone 8 Mini (S-888 8/128)</t>
  </si>
  <si>
    <t>Mi 11 Ultra (S-888 12/256)</t>
  </si>
  <si>
    <t>Mi 11T Pro (S-888 8/256)</t>
  </si>
  <si>
    <t>OPPO Find X3 Pro (S-888 12/256)</t>
  </si>
  <si>
    <t>Mi 11 (S-888 8/256)</t>
  </si>
  <si>
    <t>Galaxy S21 FE 5G (S-888 8/256)</t>
  </si>
  <si>
    <t>Galaxy S21 5G (S-888 8/256)</t>
  </si>
  <si>
    <t>iPhone 11 Pro Max (4+256)</t>
  </si>
  <si>
    <t>Galaxy S21 Ultra 5G (E-2100 16/512)</t>
  </si>
  <si>
    <t>iPhone 11 Pro (4+256)</t>
  </si>
  <si>
    <t>realme GT Neo2 (S-870 12/256)</t>
  </si>
  <si>
    <t>OnePlus 9 (S-888 8/128)</t>
  </si>
  <si>
    <t>Mi 10T Pro 5G (S-865 8/128)</t>
  </si>
  <si>
    <t>iPad 9 (3+64)</t>
  </si>
  <si>
    <t>Google Pixel 6 (Tensor 8/128)</t>
  </si>
  <si>
    <t>HUAWEI Mate 40 Pro (K-9000 8/256)</t>
  </si>
  <si>
    <t>Huawei</t>
  </si>
  <si>
    <t>Google Pixel 6 Pro (Tensor 12/128)</t>
  </si>
  <si>
    <t>Galaxy S21+ 5G (E-2100 8/128)</t>
  </si>
  <si>
    <t>Motorola Edge 20 Pro (S-870 12/256)</t>
  </si>
  <si>
    <t>Redmi K40 (S-870 8/256)</t>
  </si>
  <si>
    <t>Black Shark 4 (S-870 8/128)</t>
  </si>
  <si>
    <t>Black Shark</t>
  </si>
  <si>
    <t>Mi 11X (S-870 6/128)</t>
  </si>
  <si>
    <t>Poco F3 (S-870 8/256)</t>
  </si>
  <si>
    <t>iPhone 11 (4+128)</t>
  </si>
  <si>
    <t>OnePlus 9R (S-870 8/128)</t>
  </si>
  <si>
    <t>realme GT Neo (M-1200 12/256)</t>
  </si>
  <si>
    <t>OPPO Find X2 Pro (S-865 12/512)</t>
  </si>
  <si>
    <t>Redmi K40 Gaming (M-1200 12/256)</t>
  </si>
  <si>
    <t>OnePlus 8T (S-865 12/256)</t>
  </si>
  <si>
    <t>Mi 12X (S-870 8/256)</t>
  </si>
  <si>
    <t>Galaxy S21 5G (E-2100 8/128)</t>
  </si>
  <si>
    <t>Poco F2 Pro (S-865 6/128)</t>
  </si>
  <si>
    <t>HUAWEI P50 Pro (S-888 8/256)</t>
  </si>
  <si>
    <t>Mi 10 (S-865 8/256)</t>
  </si>
  <si>
    <t>iPad Air 3 (3+64)</t>
  </si>
  <si>
    <t>iPhone SE2 (3+64)</t>
  </si>
  <si>
    <t>realme Q3 Pro (M-1100 8/128)</t>
  </si>
  <si>
    <t>Galaxy S20 FE 5G (S-865 6/128)</t>
  </si>
  <si>
    <t>Galaxy S20 FE 4G (S-865 8/256)</t>
  </si>
  <si>
    <t>Galaxy Note20 Ultra 5G (E-990 12/256)</t>
  </si>
  <si>
    <t>Mi 11T 5G (M-1200 8/256)</t>
  </si>
  <si>
    <t>Galaxy S20 Ultra 5G (E-990 12/128)</t>
  </si>
  <si>
    <t>Poco X3 GT (M-1100 8/256)</t>
  </si>
  <si>
    <t>OnePlus Nord 2 5G (M-1200 AI 8/128)</t>
  </si>
  <si>
    <t>iPad mini 5 (3+64)</t>
  </si>
  <si>
    <t>iPad 8 (3+128)</t>
  </si>
  <si>
    <t>LG V60 ThinQ 5G (S-865 8/128)</t>
  </si>
  <si>
    <t>LG</t>
  </si>
  <si>
    <t>Galaxy Note20 Ultra LTE (E-990 8/256)</t>
  </si>
  <si>
    <t>Galaxy S20+ (E-990 8/128)</t>
  </si>
  <si>
    <t>Poco X3 Pro (S-860 8/256)</t>
  </si>
  <si>
    <t>iPhone XS (4+256)</t>
  </si>
  <si>
    <t>iPhone XS Max (4+256)</t>
  </si>
  <si>
    <t>iPhone XR (3+128)</t>
  </si>
  <si>
    <t>Galaxy S20 4G (E-990 8/128)</t>
  </si>
  <si>
    <t>realme X2 Pro (S-855+ 8/128)</t>
  </si>
  <si>
    <t>iQOO Z5 (S-778G 8/128)</t>
  </si>
  <si>
    <t>HUAWEI P40 Pro 5G (K-990 8/256)</t>
  </si>
  <si>
    <t>Galaxy Note10+ 5G (E-9825 12/256)</t>
  </si>
  <si>
    <t>Galaxy Note10 (E-9825 8/256)</t>
  </si>
  <si>
    <t>Redmi K20 Pro (S-855 6/128)</t>
  </si>
  <si>
    <t>Galaxy Note10+ (E-9825 12/256)</t>
  </si>
  <si>
    <t>realme GT Master (S-778G 8/256)</t>
  </si>
  <si>
    <t>iPad Pro 2 (10.5-inch) (4+64)</t>
  </si>
  <si>
    <t>Mi 9 (S-855 6/128)</t>
  </si>
  <si>
    <t>Mi 11 Lite (S-780G 8/128)</t>
  </si>
  <si>
    <t>realme Q3s (S-778G 6/128)</t>
  </si>
  <si>
    <t>Motorola Edge 20 (S-778G 8/128)</t>
  </si>
  <si>
    <t>Galaxy S10 5G (E-9820 8/256)</t>
  </si>
  <si>
    <t>Mi 9T Pro (S-855 6/128)</t>
  </si>
  <si>
    <t>LG V50 ThinQ 5G (S-855 6/128)</t>
  </si>
  <si>
    <t>Mi 11 Lite 5G NE (S-778G 8/256)</t>
  </si>
  <si>
    <t>Sony Xperia 1 (S-855 6/64)</t>
  </si>
  <si>
    <t>Sony</t>
  </si>
  <si>
    <t>HONOR 50 (S-778G 6/128)</t>
  </si>
  <si>
    <t>HONOR</t>
  </si>
  <si>
    <t>HUAWEI nova 9 (S-778G 8/128)</t>
  </si>
  <si>
    <t>LG G8 ThinQ (S-855 6/128)</t>
  </si>
  <si>
    <t>Galaxy A52s 5G (S-778G 6/128)</t>
  </si>
  <si>
    <t>Galaxy S10 (E-9820 8/128)</t>
  </si>
  <si>
    <t>Galaxy M52 5G (S-778G 8/128)</t>
  </si>
  <si>
    <t>Galaxy S10+ (E-9820 8/128)</t>
  </si>
  <si>
    <t>Galaxy M62 (E-9825 8/128)</t>
  </si>
  <si>
    <t>HONOR 20 Pro (K-980 8/256)</t>
  </si>
  <si>
    <t>HUAWEI nova 5T (K-980 6/128)</t>
  </si>
  <si>
    <t>HUAWEI P30 Pro (K-980 8/256)</t>
  </si>
  <si>
    <t>LG V50S ThinQ 5G (S-855 8/256)</t>
  </si>
  <si>
    <t>HUAWEI P30 (K-980 6/128)</t>
  </si>
  <si>
    <t>HONOR 20 (K-980 6/128)</t>
  </si>
  <si>
    <t>LG G8X ThinQ (S-855 6/128)</t>
  </si>
  <si>
    <t>Redmi Note 11 Pro (M-920 6/128)</t>
  </si>
  <si>
    <t>Galaxy S10e (E-9820 6/128)</t>
  </si>
  <si>
    <t>iPhone X (3+256)</t>
  </si>
  <si>
    <t>HUAWEI Mate 20 Pro (K-980 6/128)</t>
  </si>
  <si>
    <t>iPhone 8 Plus (3+64)</t>
  </si>
  <si>
    <t>OPPO Reno6 5G (M-900 8/128)</t>
  </si>
  <si>
    <t>iPhone 8 (2+64)</t>
  </si>
  <si>
    <t>Poco F1 (S-845 6/128)</t>
  </si>
  <si>
    <t>Mi 8 (S-845 6/128)</t>
  </si>
  <si>
    <t>Galaxy A53 5G (E-1280 8/128)</t>
  </si>
  <si>
    <t>realme 9 Pro (S-695 8/128)</t>
  </si>
  <si>
    <t>Galaxy F62 (E-9825 6/128)</t>
  </si>
  <si>
    <t>Poco X4 NFC (S-695 8/256)</t>
  </si>
  <si>
    <t>OPPO Reno5 A (S-765G 6/128)</t>
  </si>
  <si>
    <t>iPad 7 (3+128)</t>
  </si>
  <si>
    <t>Redmi Note 11T Pro (S-695 8/128)</t>
  </si>
  <si>
    <t>Galaxy Note 9 (E-9810 6/128)</t>
  </si>
  <si>
    <t>Galaxy S9+ (E-9810 6/64)</t>
  </si>
  <si>
    <t>HUAWEI nova 7i (K-810 6/128)</t>
  </si>
  <si>
    <t>Mi 11 Lite 4G (S-730 8/128)</t>
  </si>
  <si>
    <t>Poco M4 Pro 5G (M-810 6/128)</t>
  </si>
  <si>
    <t>iPhone 7 Plus (3+128)</t>
  </si>
  <si>
    <t>realme 8 (M-G95 8/128)</t>
  </si>
  <si>
    <t>Poco X3 NFC (S-730 6/128)</t>
  </si>
  <si>
    <t>realme 7 (M-G95 8/128)</t>
  </si>
  <si>
    <t>realme 6 Pro (S-720G 8/128)</t>
  </si>
  <si>
    <t>OPPO Reno5 4G (S-720G 8/128)</t>
  </si>
  <si>
    <t>Poco X3 (S-730 6/128)</t>
  </si>
  <si>
    <t>realme 7 Pro (S-720G 6/128)</t>
  </si>
  <si>
    <t>iPhone 7 (2+128)</t>
  </si>
  <si>
    <t>Redmi Note 10 Pro (S-730 6/128)</t>
  </si>
  <si>
    <t>Galaxy A52 (S-720G 8/256)</t>
  </si>
  <si>
    <t>Redmi Note 9 Pro (S-720G 6/128)</t>
  </si>
  <si>
    <t>Redmi Note 9S (S-720G 6/128)</t>
  </si>
  <si>
    <t>Mi Note 10 Lite (S-730 6/128)</t>
  </si>
  <si>
    <t>Redmi Note 10 5G (M-700 8/128)</t>
  </si>
  <si>
    <t>Redmi Note 10 Pro Max (S-730 6/128)</t>
  </si>
  <si>
    <t>Poco M3 Pro 5G (M-700 6/128)</t>
  </si>
  <si>
    <t>Mi 9T (S-730 6/128)</t>
  </si>
  <si>
    <t>Galaxy A71 (S-730 6/128)</t>
  </si>
  <si>
    <t>Redmi Note 8 Pro (M-G90T 6/128)</t>
  </si>
  <si>
    <t>Redmi Note 11 Pro 4G (M-G96 8/128)</t>
  </si>
  <si>
    <t>Poco M4 Pro 4G (M-G96 6/128)</t>
  </si>
  <si>
    <t>iPhone SE (2+32)</t>
  </si>
  <si>
    <t>iPhone 6s Plus (2+64)</t>
  </si>
  <si>
    <t>Galaxy A70 (S-675 6/128)</t>
  </si>
  <si>
    <t>iPhone 6s (2+64)</t>
  </si>
  <si>
    <t>Redmi Note 11 (S-680 6/128)</t>
  </si>
  <si>
    <t>Infinix Hot 11S (M-G88 6/128)</t>
  </si>
  <si>
    <t>Infinix</t>
  </si>
  <si>
    <t>Redmi 10 (M-G88 6/128)</t>
  </si>
  <si>
    <t>Galaxy A51 (E-9611 6/128)</t>
  </si>
  <si>
    <t>Galaxy M31 (E-9611 6/128)</t>
  </si>
  <si>
    <t>Galaxy A32 4G (M-G80 6/128)</t>
  </si>
  <si>
    <t>True_CPU</t>
  </si>
  <si>
    <t>iPad Pro 5</t>
  </si>
  <si>
    <t>M1</t>
  </si>
  <si>
    <t>iPad Air 5</t>
  </si>
  <si>
    <t>Red Magic 7</t>
  </si>
  <si>
    <t>Redmi K50 Pro</t>
  </si>
  <si>
    <t>Mi 12 Pro</t>
  </si>
  <si>
    <t>Motorola Edge 30 Pro</t>
  </si>
  <si>
    <t>iPad Pro 4</t>
  </si>
  <si>
    <t>A12Z Bionic</t>
  </si>
  <si>
    <t>realme GT2 Pro</t>
  </si>
  <si>
    <t>iQOO 9 Pro</t>
  </si>
  <si>
    <t>iPad Pro 3</t>
  </si>
  <si>
    <t>A12X Bionic</t>
  </si>
  <si>
    <t>Mi 12</t>
  </si>
  <si>
    <t>Galaxy S22 Ultra 5G</t>
  </si>
  <si>
    <t>iPad mini 6</t>
  </si>
  <si>
    <t>Galaxy S22+ 5G</t>
  </si>
  <si>
    <t>OPPO Find X5 Pro</t>
  </si>
  <si>
    <t>Galaxy S22 5G</t>
  </si>
  <si>
    <t>OnePlus 10 Pro 5G</t>
  </si>
  <si>
    <t>iPad Air 4</t>
  </si>
  <si>
    <t>ROG Phone 5s</t>
  </si>
  <si>
    <t>iPhone SE3</t>
  </si>
  <si>
    <t>realme GT</t>
  </si>
  <si>
    <t>iQOO 9 SE</t>
  </si>
  <si>
    <t>Motorola Moto G200 5G</t>
  </si>
  <si>
    <t>OnePlus 9 Pro</t>
  </si>
  <si>
    <t>iPhone 12 mini</t>
  </si>
  <si>
    <t>Mi 11i</t>
  </si>
  <si>
    <t>Asus Zenfone 8 Mini</t>
  </si>
  <si>
    <t>Mi 11 Ultra</t>
  </si>
  <si>
    <t>Mi 11T Pro</t>
  </si>
  <si>
    <t>OPPO Find X3 Pro</t>
  </si>
  <si>
    <t>Mi 11</t>
  </si>
  <si>
    <t>Galaxy S21 FE 5G</t>
  </si>
  <si>
    <t>Galaxy S21 5G</t>
  </si>
  <si>
    <t>Galaxy S21 Ultra 5G</t>
  </si>
  <si>
    <t>realme GT Neo2</t>
  </si>
  <si>
    <t>OnePlus 9</t>
  </si>
  <si>
    <t>Mi 10T Pro 5G</t>
  </si>
  <si>
    <t>iPad 9</t>
  </si>
  <si>
    <t>HUAWEI Mate 40 Pro</t>
  </si>
  <si>
    <t>Galaxy S21+ 5G</t>
  </si>
  <si>
    <t>Motorola Edge 20 Pro</t>
  </si>
  <si>
    <t>Redmi K40</t>
  </si>
  <si>
    <t>Black Shark 4</t>
  </si>
  <si>
    <t>Mi 11X</t>
  </si>
  <si>
    <t>Poco F3</t>
  </si>
  <si>
    <t>realme GT Neo</t>
  </si>
  <si>
    <t>OPPO Find X2 Pro</t>
  </si>
  <si>
    <t>Redmi K40 Gaming</t>
  </si>
  <si>
    <t>Mi 12X</t>
  </si>
  <si>
    <t>Poco F2 Pro</t>
  </si>
  <si>
    <t>HUAWEI P50 Pro</t>
  </si>
  <si>
    <t>Mi 10</t>
  </si>
  <si>
    <t>iPad Air 3</t>
  </si>
  <si>
    <t>iPhone SE2</t>
  </si>
  <si>
    <t>realme Q3 Pro</t>
  </si>
  <si>
    <t>Galaxy S20 FE 5G</t>
  </si>
  <si>
    <t>Galaxy S20 FE 4G</t>
  </si>
  <si>
    <t>Galaxy Note20 Ultra 5G</t>
  </si>
  <si>
    <t>Mi 11T 5G</t>
  </si>
  <si>
    <t>Galaxy S20 Ultra 5G</t>
  </si>
  <si>
    <t>Poco X3 GT</t>
  </si>
  <si>
    <t>iPad mini 5</t>
  </si>
  <si>
    <t>iPad 8</t>
  </si>
  <si>
    <t>LG V60 ThinQ 5G</t>
  </si>
  <si>
    <t>Galaxy Note20 Ultra LTE</t>
  </si>
  <si>
    <t>Galaxy S20+</t>
  </si>
  <si>
    <t>Poco X3 Pro</t>
  </si>
  <si>
    <t>Galaxy S20 4G</t>
  </si>
  <si>
    <t>realme X2 Pro</t>
  </si>
  <si>
    <t>iQOO Z5</t>
  </si>
  <si>
    <t>HUAWEI P40 Pro 5G</t>
  </si>
  <si>
    <t>Galaxy Note10+ 5G</t>
  </si>
  <si>
    <t>Galaxy Note10</t>
  </si>
  <si>
    <t>Redmi K20 Pro</t>
  </si>
  <si>
    <t>Galaxy Note10+</t>
  </si>
  <si>
    <t>realme GT Master</t>
  </si>
  <si>
    <t>iPad Pro 2</t>
  </si>
  <si>
    <t>A10X Fusion</t>
  </si>
  <si>
    <t>Mi 9</t>
  </si>
  <si>
    <t>Mi 11 Lite</t>
  </si>
  <si>
    <t>realme Q3s</t>
  </si>
  <si>
    <t>Motorola Edge 20</t>
  </si>
  <si>
    <t>Galaxy S10 5G</t>
  </si>
  <si>
    <t>Mi 9T Pro</t>
  </si>
  <si>
    <t>Mi 11 Lite 5G NE</t>
  </si>
  <si>
    <t>HONOR 50</t>
  </si>
  <si>
    <t>HUAWEI nova 9</t>
  </si>
  <si>
    <t>Galaxy A52s 5G</t>
  </si>
  <si>
    <t>Galaxy S10</t>
  </si>
  <si>
    <t>Galaxy M52 5G</t>
  </si>
  <si>
    <t>Galaxy S10+</t>
  </si>
  <si>
    <t>Galaxy M62</t>
  </si>
  <si>
    <t>HONOR 20 Pro</t>
  </si>
  <si>
    <t>HUAWEI nova 5T</t>
  </si>
  <si>
    <t>HUAWEI P30 Pro</t>
  </si>
  <si>
    <t>LG V50S ThinQ 5G</t>
  </si>
  <si>
    <t>HUAWEI P30</t>
  </si>
  <si>
    <t>HONOR 20</t>
  </si>
  <si>
    <t>LG G8X ThinQ</t>
  </si>
  <si>
    <t>Redmi Note 11 Pro</t>
  </si>
  <si>
    <t>Galaxy S10e</t>
  </si>
  <si>
    <t>HUAWEI Mate 20 Pro</t>
  </si>
  <si>
    <t>OPPO Reno6 5G</t>
  </si>
  <si>
    <t>Poco F1</t>
  </si>
  <si>
    <t>Mi 8</t>
  </si>
  <si>
    <t>Galaxy A53 5G</t>
  </si>
  <si>
    <t>realme 9 Pro</t>
  </si>
  <si>
    <t>Galaxy F62</t>
  </si>
  <si>
    <t>Poco X4 NFC</t>
  </si>
  <si>
    <t>OPPO Reno5 A</t>
  </si>
  <si>
    <t>iPad 7</t>
  </si>
  <si>
    <t>Redmi Note 11T Pro</t>
  </si>
  <si>
    <t>Galaxy Note 9</t>
  </si>
  <si>
    <t>Galaxy S9+</t>
  </si>
  <si>
    <t>HUAWEI nova 7i</t>
  </si>
  <si>
    <t>Mi 11 Lite 4G</t>
  </si>
  <si>
    <t>Poco M4 Pro 5G</t>
  </si>
  <si>
    <t>realme 8</t>
  </si>
  <si>
    <t>Poco X3 NFC</t>
  </si>
  <si>
    <t>realme 7</t>
  </si>
  <si>
    <t>realme 6 Pro</t>
  </si>
  <si>
    <t>OPPO Reno5 4G</t>
  </si>
  <si>
    <t>Poco X3</t>
  </si>
  <si>
    <t>realme 7 Pro</t>
  </si>
  <si>
    <t>Redmi Note 10 Pro</t>
  </si>
  <si>
    <t>Galaxy A52</t>
  </si>
  <si>
    <t>Redmi Note 9 Pro</t>
  </si>
  <si>
    <t>Redmi Note 9S</t>
  </si>
  <si>
    <t>Mi Note 10 Lite</t>
  </si>
  <si>
    <t>Redmi Note 10 5G</t>
  </si>
  <si>
    <t>Redmi Note 10 Pro Max</t>
  </si>
  <si>
    <t>Poco M3 Pro 5G</t>
  </si>
  <si>
    <t>Mi 9T</t>
  </si>
  <si>
    <t>Galaxy A71</t>
  </si>
  <si>
    <t>Redmi Note 8 Pro</t>
  </si>
  <si>
    <t>Redmi Note 11 Pro 4G</t>
  </si>
  <si>
    <t>Poco M4 Pro 4G</t>
  </si>
  <si>
    <t>Galaxy A70</t>
  </si>
  <si>
    <t>Redmi Note 11</t>
  </si>
  <si>
    <t>Infinix Hot 11S</t>
  </si>
  <si>
    <t>Redmi 10</t>
  </si>
  <si>
    <t>Galaxy A51</t>
  </si>
  <si>
    <t>Galaxy M31</t>
  </si>
  <si>
    <t>Galaxy A32 4G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</si>
</sst>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8" x14ac:knownFonts="1">
    <font>
      <sz val="11"/>
      <color theme="1"/>
      <name val="Calibri"/>
      <family val="2"/>
      <scheme val="minor"/>
    </font>
    <font>
      <b/>
      <sz val="11"/>
      <color theme="0"/>
      <name val="Calibri"/>
      <family val="2"/>
      <scheme val="minor"/>
    </font>
    <font>
      <b/>
      <sz val="9"/>
      <color theme="0"/>
      <name val="Calibri"/>
      <family val="2"/>
      <scheme val="minor"/>
    </font>
    <font>
      <b/>
      <sz val="11"/>
      <color theme="1"/>
      <name val="Calibri"/>
      <family val="2"/>
      <scheme val="minor"/>
    </font>
    <font>
      <sz val="11"/>
      <color rgb="FFFFC000"/>
      <name val="Calibri"/>
      <family val="2"/>
      <scheme val="minor"/>
    </font>
    <font>
      <sz val="11"/>
      <name val="Calibri"/>
      <family val="2"/>
      <scheme val="minor"/>
    </font>
    <font>
      <b/>
      <sz val="11"/>
      <color rgb="FFFAF9F5"/>
      <name val="Calibri"/>
    </font>
    <font>
      <sz val="11"/>
      <color rgb="FFFAF9F5"/>
      <name val="Calibri"/>
      <scheme val="minor"/>
    </font>
  </fonts>
  <fills count="8">
    <fill>
      <patternFill patternType="none"/>
    </fill>
    <fill>
      <patternFill patternType="gray125"/>
    </fill>
    <fill>
      <patternFill patternType="solid">
        <fgColor theme="4" tint="-0.499984740745262"/>
        <bgColor indexed="64"/>
      </patternFill>
    </fill>
    <fill>
      <patternFill patternType="solid">
        <fgColor theme="1"/>
        <bgColor indexed="64"/>
      </patternFill>
    </fill>
    <fill>
      <patternFill patternType="solid">
        <fgColor rgb="FFFFFF00"/>
        <bgColor indexed="64"/>
      </patternFill>
    </fill>
    <fill>
      <patternFill patternType="solid">
        <fgColor theme="2"/>
        <bgColor indexed="64"/>
      </patternFill>
    </fill>
    <fill>
      <patternFill patternType="solid">
        <fgColor theme="7" tint="0.59999389629810485"/>
        <bgColor indexed="64"/>
      </patternFill>
    </fill>
    <fill>
      <patternFill patternType="solid">
        <fgColor rgb="FFF2F8FC"/>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14" fontId="0" fillId="0" borderId="0" xfId="0" applyNumberFormat="1"/>
    <xf numFmtId="3"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4" borderId="1" xfId="0" applyFill="1" applyBorder="1"/>
    <xf numFmtId="0" fontId="0" fillId="5" borderId="1" xfId="0" applyFill="1" applyBorder="1"/>
    <xf numFmtId="0" fontId="1" fillId="2" borderId="1" xfId="0" applyFont="1" applyFill="1" applyBorder="1"/>
    <xf numFmtId="0" fontId="0" fillId="0" borderId="1" xfId="0" applyBorder="1" applyAlignment="1">
      <alignment horizontal="left"/>
    </xf>
    <xf numFmtId="3" fontId="0" fillId="0" borderId="1" xfId="0" applyNumberFormat="1" applyBorder="1"/>
    <xf numFmtId="0" fontId="0" fillId="6" borderId="0" xfId="0" applyFill="1"/>
    <xf numFmtId="0" fontId="6" fillId="0" borderId="0" xfId="0" applyFont="1"/>
    <xf numFmtId="0" fontId="7" fillId="0" borderId="0" xfId="0" applyFont="1"/>
    <xf numFmtId="0" fontId="0" fillId="7" borderId="0" xfId="0" applyFill="1"/>
    <xf numFmtId="0" fontId="1" fillId="2" borderId="0" xfId="0" applyFont="1" applyFill="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2" fillId="2" borderId="0" xfId="0" applyFont="1" applyFill="1" applyAlignment="1">
      <alignment horizontal="center" textRotation="90"/>
    </xf>
    <xf numFmtId="0" fontId="0" fillId="0" borderId="0" xfId="0" applyAlignment="1">
      <alignment horizontal="center" vertical="center" wrapText="1"/>
    </xf>
    <xf numFmtId="0" fontId="3" fillId="4" borderId="0" xfId="0" applyFont="1" applyFill="1" applyAlignment="1">
      <alignment horizontal="center"/>
    </xf>
    <xf numFmtId="0" fontId="0" fillId="0" borderId="0" xfId="0" pivotButton="1" applyProtection="1"/>
    <xf numFmtId="0" fontId="0" fillId="0" borderId="0" xfId="0" applyProtection="1"/>
    <xf numFmtId="0" fontId="0" fillId="0" borderId="0" xfId="0" applyAlignment="1" applyProtection="1">
      <alignment horizontal="left"/>
    </xf>
    <xf numFmtId="0" fontId="0" fillId="0" borderId="0" xfId="0" applyNumberFormat="1" applyProtection="1"/>
  </cellXfs>
  <cellStyles count="1">
    <cellStyle name="Normal" xfId="0" builtinId="0"/>
  </cellStyles>
  <dxfs count="191">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numFmt numFmtId="0" formatCode="General"/>
    </dxf>
    <dxf>
      <numFmt numFmtId="0" formatCode="General"/>
    </dxf>
    <dxf>
      <numFmt numFmtId="0" formatCode="General"/>
    </dxf>
    <dxf>
      <numFmt numFmtId="3" formatCode="#,##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s>
  <tableStyles count="0" defaultTableStyle="TableStyleMedium2" defaultPivotStyle="PivotStyleLight16"/>
  <colors>
    <mruColors>
      <color rgb="FFC7EDE7"/>
      <color rgb="FFF2F8FC"/>
      <color rgb="FF7AD4C5"/>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L2" s="9"/>
        <tr r="L2" s="9"/>
        <tr r="L2" s="9"/>
        <tr r="L1" s="9"/>
        <tr r="L1" s="9"/>
        <tr r="L1" s="9"/>
        <tr r="L3" s="9"/>
        <tr r="L3" s="9"/>
        <tr r="L3" s="9"/>
        <tr r="C3" s="1"/>
        <tr r="B2" s="1"/>
        <tr r="B7" s="1"/>
        <tr r="B4" s="1"/>
        <tr r="C7" s="1"/>
        <tr r="C9" s="1"/>
        <tr r="B9" s="1"/>
        <tr r="B6" s="1"/>
        <tr r="B3" s="1"/>
        <tr r="B8" s="1"/>
        <tr r="C8" s="1"/>
        <tr r="C6" s="1"/>
        <tr r="B5" s="1"/>
        <tr r="C4" s="1"/>
        <tr r="C5" s="1"/>
        <tr r="C2" s="1"/>
        <tr r="A3" s="1"/>
        <tr r="A4" s="1"/>
        <tr r="A7" s="1"/>
        <tr r="A2" s="1"/>
        <tr r="A5" s="1"/>
        <tr r="A8" s="1"/>
        <tr r="B1" s="1"/>
        <tr r="A6" s="1"/>
        <tr r="A9" s="1"/>
        <tr r="C1" s="1"/>
      </tp>
    </main>
  </volType>
</volTypes>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heetMetadata" Target="metadata.xml"/><Relationship Id="rId39" Type="http://schemas.openxmlformats.org/officeDocument/2006/relationships/customXml" Target="../customXml/item10.xml"/><Relationship Id="rId21" Type="http://schemas.microsoft.com/office/2007/relationships/slicerCache" Target="slicerCaches/slicerCache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alcChain" Target="calcChain.xml"/><Relationship Id="rId11" Type="http://schemas.openxmlformats.org/officeDocument/2006/relationships/pivotCacheDefinition" Target="pivotCache/pivotCacheDefinition3.xml"/><Relationship Id="rId24" Type="http://schemas.openxmlformats.org/officeDocument/2006/relationships/styles" Target="style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volatileDependencies" Target="volatileDependencies.xml"/><Relationship Id="rId5" Type="http://schemas.openxmlformats.org/officeDocument/2006/relationships/worksheet" Target="worksheets/sheet5.xml"/><Relationship Id="rId19"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haredStrings" Target="sharedString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connections" Target="connections.xml"/><Relationship Id="rId28" Type="http://schemas.microsoft.com/office/2017/10/relationships/person" Target="persons/person.xml"/><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2.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 Project.xlsx]Overview (Dashboard)!Top10_CPU</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CPU</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'Overview (Dashboard)'!$P$28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 (Dashboard)'!$O$29:$O$39</c:f>
              <c:strCache>
                <c:ptCount val="10"/>
                <c:pt idx="0">
                  <c:v>Kirin 810</c:v>
                </c:pt>
                <c:pt idx="1">
                  <c:v>Kirin 820</c:v>
                </c:pt>
                <c:pt idx="2">
                  <c:v>Kirin 9000</c:v>
                </c:pt>
                <c:pt idx="3">
                  <c:v>Kirin 9000E</c:v>
                </c:pt>
                <c:pt idx="4">
                  <c:v>Kirin 960</c:v>
                </c:pt>
                <c:pt idx="5">
                  <c:v>Kirin 970</c:v>
                </c:pt>
                <c:pt idx="6">
                  <c:v>Kirin 980</c:v>
                </c:pt>
                <c:pt idx="7">
                  <c:v>Kirin 985</c:v>
                </c:pt>
                <c:pt idx="8">
                  <c:v>Kirin 990 (4G)</c:v>
                </c:pt>
                <c:pt idx="9">
                  <c:v>Kirin 990 (5G)</c:v>
                </c:pt>
              </c:strCache>
            </c:strRef>
          </c:cat>
          <c:val>
            <c:numRef>
              <c:f>'Overview (Dashboard)'!$P$29:$P$39</c:f>
              <c:numCache>
                <c:formatCode>General</c:formatCode>
                <c:ptCount val="10"/>
                <c:pt idx="0">
                  <c:v>1900</c:v>
                </c:pt>
                <c:pt idx="1">
                  <c:v>2448</c:v>
                </c:pt>
                <c:pt idx="2">
                  <c:v>3677</c:v>
                </c:pt>
                <c:pt idx="3">
                  <c:v>3741</c:v>
                </c:pt>
                <c:pt idx="4">
                  <c:v>1579</c:v>
                </c:pt>
                <c:pt idx="5">
                  <c:v>1361</c:v>
                </c:pt>
                <c:pt idx="6">
                  <c:v>2459</c:v>
                </c:pt>
                <c:pt idx="7">
                  <c:v>2559</c:v>
                </c:pt>
                <c:pt idx="8">
                  <c:v>3041</c:v>
                </c:pt>
                <c:pt idx="9">
                  <c:v>3051</c:v>
                </c:pt>
              </c:numCache>
            </c:numRef>
          </c:val>
          <c:extLst>
            <c:ext xmlns:c16="http://schemas.microsoft.com/office/drawing/2014/chart" uri="{C3380CC4-5D6E-409C-BE32-E72D297353CC}">
              <c16:uniqueId val="{00000002-F205-4A84-BFB9-58530F76927C}"/>
            </c:ext>
          </c:extLst>
        </c:ser>
        <c:dLbls>
          <c:dLblPos val="outEnd"/>
          <c:showLegendKey val="0"/>
          <c:showVal val="1"/>
          <c:showCatName val="0"/>
          <c:showSerName val="0"/>
          <c:showPercent val="0"/>
          <c:showBubbleSize val="0"/>
        </c:dLbls>
        <c:gapWidth val="115"/>
        <c:overlap val="-20"/>
        <c:axId val="646614111"/>
        <c:axId val="646614591"/>
      </c:barChart>
      <c:catAx>
        <c:axId val="646614111"/>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614591"/>
        <c:crosses val="autoZero"/>
        <c:auto val="1"/>
        <c:lblAlgn val="ctr"/>
        <c:lblOffset val="100"/>
        <c:noMultiLvlLbl val="0"/>
      </c:catAx>
      <c:valAx>
        <c:axId val="646614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61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 Project.xlsx]Overview (Dashboard)!Perbandingan_Core</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Multi</a:t>
            </a:r>
            <a:r>
              <a:rPr lang="en-ID" baseline="0"/>
              <a:t> vs Single Comparison</a:t>
            </a:r>
            <a:endParaRPr lang="en-ID"/>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0224251332343502E-2"/>
              <c:y val="5.66064647257037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5970572951249726E-2"/>
              <c:y val="-6.09608081661426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716894570155943E-2"/>
              <c:y val="4.78977778448262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716894570155915E-2"/>
              <c:y val="-5.66064647257037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716894570155963E-2"/>
              <c:y val="6.53151516065812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716894570155915E-2"/>
              <c:y val="-4.7897777844826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4590055379609016E-2"/>
              <c:y val="6.53151516065811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4590055379609016E-2"/>
              <c:y val="-5.2252121285265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4590055379609016E-2"/>
              <c:y val="6.96694950470200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4590055379609016E-2"/>
              <c:y val="-5.66064647257037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0224251332343502E-2"/>
              <c:y val="5.66064647257037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5970572951249726E-2"/>
              <c:y val="-6.09608081661426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716894570155943E-2"/>
              <c:y val="4.78977778448262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716894570155915E-2"/>
              <c:y val="-5.66064647257037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716894570155963E-2"/>
              <c:y val="6.53151516065812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716894570155915E-2"/>
              <c:y val="-4.7897777844826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4590055379609016E-2"/>
              <c:y val="6.53151516065811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4590055379609016E-2"/>
              <c:y val="-5.2252121285265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4590055379609016E-2"/>
              <c:y val="6.96694950470200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4590055379609016E-2"/>
              <c:y val="-5.66064647257037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1"/>
          <c:order val="1"/>
          <c:tx>
            <c:strRef>
              <c:f>'Overview (Dashboard)'!$L$28</c:f>
              <c:strCache>
                <c:ptCount val="1"/>
                <c:pt idx="0">
                  <c:v>Sum of geekbenchMulti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 (Dashboard)'!$J$29:$J$39</c:f>
              <c:strCache>
                <c:ptCount val="10"/>
                <c:pt idx="0">
                  <c:v>Kirin 810</c:v>
                </c:pt>
                <c:pt idx="1">
                  <c:v>Kirin 820</c:v>
                </c:pt>
                <c:pt idx="2">
                  <c:v>Kirin 9000</c:v>
                </c:pt>
                <c:pt idx="3">
                  <c:v>Kirin 9000E</c:v>
                </c:pt>
                <c:pt idx="4">
                  <c:v>Kirin 960</c:v>
                </c:pt>
                <c:pt idx="5">
                  <c:v>Kirin 970</c:v>
                </c:pt>
                <c:pt idx="6">
                  <c:v>Kirin 980</c:v>
                </c:pt>
                <c:pt idx="7">
                  <c:v>Kirin 985</c:v>
                </c:pt>
                <c:pt idx="8">
                  <c:v>Kirin 990 (4G)</c:v>
                </c:pt>
                <c:pt idx="9">
                  <c:v>Kirin 990 (5G)</c:v>
                </c:pt>
              </c:strCache>
            </c:strRef>
          </c:cat>
          <c:val>
            <c:numRef>
              <c:f>'Overview (Dashboard)'!$L$29:$L$39</c:f>
              <c:numCache>
                <c:formatCode>General</c:formatCode>
                <c:ptCount val="10"/>
                <c:pt idx="0">
                  <c:v>1900</c:v>
                </c:pt>
                <c:pt idx="1">
                  <c:v>2448</c:v>
                </c:pt>
                <c:pt idx="2">
                  <c:v>3677</c:v>
                </c:pt>
                <c:pt idx="3">
                  <c:v>3741</c:v>
                </c:pt>
                <c:pt idx="4">
                  <c:v>1579</c:v>
                </c:pt>
                <c:pt idx="5">
                  <c:v>1361</c:v>
                </c:pt>
                <c:pt idx="6">
                  <c:v>2459</c:v>
                </c:pt>
                <c:pt idx="7">
                  <c:v>2559</c:v>
                </c:pt>
                <c:pt idx="8">
                  <c:v>3041</c:v>
                </c:pt>
                <c:pt idx="9">
                  <c:v>3051</c:v>
                </c:pt>
              </c:numCache>
            </c:numRef>
          </c:val>
          <c:extLst>
            <c:ext xmlns:c16="http://schemas.microsoft.com/office/drawing/2014/chart" uri="{C3380CC4-5D6E-409C-BE32-E72D297353CC}">
              <c16:uniqueId val="{00000004-4C13-48EC-BFD6-AFF85332B2AB}"/>
            </c:ext>
          </c:extLst>
        </c:ser>
        <c:dLbls>
          <c:dLblPos val="inEnd"/>
          <c:showLegendKey val="0"/>
          <c:showVal val="1"/>
          <c:showCatName val="0"/>
          <c:showSerName val="0"/>
          <c:showPercent val="0"/>
          <c:showBubbleSize val="0"/>
        </c:dLbls>
        <c:gapWidth val="219"/>
        <c:axId val="637745919"/>
        <c:axId val="637739199"/>
      </c:barChart>
      <c:lineChart>
        <c:grouping val="standard"/>
        <c:varyColors val="0"/>
        <c:ser>
          <c:idx val="0"/>
          <c:order val="0"/>
          <c:tx>
            <c:strRef>
              <c:f>'Overview (Dashboard)'!$K$28</c:f>
              <c:strCache>
                <c:ptCount val="1"/>
                <c:pt idx="0">
                  <c:v>Sum of geekbenchSingle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DC36-4057-817F-5401EA5100DE}"/>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DC36-4057-817F-5401EA5100DE}"/>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DC36-4057-817F-5401EA5100DE}"/>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DC36-4057-817F-5401EA5100DE}"/>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6-DC36-4057-817F-5401EA5100DE}"/>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DC36-4057-817F-5401EA5100DE}"/>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8-DC36-4057-817F-5401EA5100DE}"/>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DC36-4057-817F-5401EA5100DE}"/>
              </c:ext>
            </c:extLst>
          </c:dPt>
          <c:dPt>
            <c:idx val="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A-DC36-4057-817F-5401EA5100DE}"/>
              </c:ext>
            </c:extLst>
          </c:dPt>
          <c:dPt>
            <c:idx val="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B-DC36-4057-817F-5401EA5100DE}"/>
              </c:ext>
            </c:extLst>
          </c:dPt>
          <c:dLbls>
            <c:dLbl>
              <c:idx val="2"/>
              <c:layout>
                <c:manualLayout>
                  <c:x val="-5.1716894570155915E-2"/>
                  <c:y val="-4.7897777844826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C36-4057-817F-5401EA5100DE}"/>
                </c:ext>
              </c:extLst>
            </c:dLbl>
            <c:dLbl>
              <c:idx val="3"/>
              <c:layout>
                <c:manualLayout>
                  <c:x val="-5.4590055379609016E-2"/>
                  <c:y val="6.53151516065811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C36-4057-817F-5401EA5100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 (Dashboard)'!$J$29:$J$39</c:f>
              <c:strCache>
                <c:ptCount val="10"/>
                <c:pt idx="0">
                  <c:v>Kirin 810</c:v>
                </c:pt>
                <c:pt idx="1">
                  <c:v>Kirin 820</c:v>
                </c:pt>
                <c:pt idx="2">
                  <c:v>Kirin 9000</c:v>
                </c:pt>
                <c:pt idx="3">
                  <c:v>Kirin 9000E</c:v>
                </c:pt>
                <c:pt idx="4">
                  <c:v>Kirin 960</c:v>
                </c:pt>
                <c:pt idx="5">
                  <c:v>Kirin 970</c:v>
                </c:pt>
                <c:pt idx="6">
                  <c:v>Kirin 980</c:v>
                </c:pt>
                <c:pt idx="7">
                  <c:v>Kirin 985</c:v>
                </c:pt>
                <c:pt idx="8">
                  <c:v>Kirin 990 (4G)</c:v>
                </c:pt>
                <c:pt idx="9">
                  <c:v>Kirin 990 (5G)</c:v>
                </c:pt>
              </c:strCache>
            </c:strRef>
          </c:cat>
          <c:val>
            <c:numRef>
              <c:f>'Overview (Dashboard)'!$K$29:$K$39</c:f>
              <c:numCache>
                <c:formatCode>General</c:formatCode>
                <c:ptCount val="10"/>
                <c:pt idx="0">
                  <c:v>595</c:v>
                </c:pt>
                <c:pt idx="1">
                  <c:v>639</c:v>
                </c:pt>
                <c:pt idx="2">
                  <c:v>1039</c:v>
                </c:pt>
                <c:pt idx="3">
                  <c:v>1060</c:v>
                </c:pt>
                <c:pt idx="4">
                  <c:v>377</c:v>
                </c:pt>
                <c:pt idx="5">
                  <c:v>385</c:v>
                </c:pt>
                <c:pt idx="6">
                  <c:v>691</c:v>
                </c:pt>
                <c:pt idx="7">
                  <c:v>685</c:v>
                </c:pt>
                <c:pt idx="8">
                  <c:v>739</c:v>
                </c:pt>
                <c:pt idx="9">
                  <c:v>767</c:v>
                </c:pt>
              </c:numCache>
            </c:numRef>
          </c:val>
          <c:smooth val="0"/>
          <c:extLst>
            <c:ext xmlns:c16="http://schemas.microsoft.com/office/drawing/2014/chart" uri="{C3380CC4-5D6E-409C-BE32-E72D297353CC}">
              <c16:uniqueId val="{00000003-4C13-48EC-BFD6-AFF85332B2AB}"/>
            </c:ext>
          </c:extLst>
        </c:ser>
        <c:dLbls>
          <c:showLegendKey val="0"/>
          <c:showVal val="1"/>
          <c:showCatName val="0"/>
          <c:showSerName val="0"/>
          <c:showPercent val="0"/>
          <c:showBubbleSize val="0"/>
        </c:dLbls>
        <c:marker val="1"/>
        <c:smooth val="0"/>
        <c:axId val="637745919"/>
        <c:axId val="637739199"/>
      </c:lineChart>
      <c:catAx>
        <c:axId val="6377459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39199"/>
        <c:crosses val="autoZero"/>
        <c:auto val="1"/>
        <c:lblAlgn val="ctr"/>
        <c:lblOffset val="100"/>
        <c:noMultiLvlLbl val="0"/>
      </c:catAx>
      <c:valAx>
        <c:axId val="63773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4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 Project.xlsx]Overview (Dashboard)!Evolusi_Performa</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CPU Evolution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'Overview (Dashboard)'!$G$28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trendline>
            <c:spPr>
              <a:ln w="19050" cap="rnd">
                <a:solidFill>
                  <a:schemeClr val="accent1"/>
                </a:solidFill>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'Overview (Dashboard)'!$F$29:$F$35</c:f>
              <c:strCache>
                <c:ptCount val="6"/>
                <c:pt idx="0">
                  <c:v>2015</c:v>
                </c:pt>
                <c:pt idx="1">
                  <c:v>2016</c:v>
                </c:pt>
                <c:pt idx="2">
                  <c:v>2017</c:v>
                </c:pt>
                <c:pt idx="3">
                  <c:v>2018</c:v>
                </c:pt>
                <c:pt idx="4">
                  <c:v>2019</c:v>
                </c:pt>
                <c:pt idx="5">
                  <c:v>2020</c:v>
                </c:pt>
              </c:strCache>
            </c:strRef>
          </c:cat>
          <c:val>
            <c:numRef>
              <c:f>'Overview (Dashboard)'!$G$29:$G$35</c:f>
              <c:numCache>
                <c:formatCode>General</c:formatCode>
                <c:ptCount val="6"/>
                <c:pt idx="0">
                  <c:v>1267</c:v>
                </c:pt>
                <c:pt idx="1">
                  <c:v>1332.5</c:v>
                </c:pt>
                <c:pt idx="2">
                  <c:v>1119.5</c:v>
                </c:pt>
                <c:pt idx="3">
                  <c:v>1865</c:v>
                </c:pt>
                <c:pt idx="4">
                  <c:v>2664</c:v>
                </c:pt>
                <c:pt idx="5">
                  <c:v>2483</c:v>
                </c:pt>
              </c:numCache>
            </c:numRef>
          </c:val>
          <c:smooth val="0"/>
          <c:extLst>
            <c:ext xmlns:c16="http://schemas.microsoft.com/office/drawing/2014/chart" uri="{C3380CC4-5D6E-409C-BE32-E72D297353CC}">
              <c16:uniqueId val="{00000002-44DB-435C-8324-B4334A95979F}"/>
            </c:ext>
          </c:extLst>
        </c:ser>
        <c:dLbls>
          <c:showLegendKey val="0"/>
          <c:showVal val="0"/>
          <c:showCatName val="0"/>
          <c:showSerName val="0"/>
          <c:showPercent val="0"/>
          <c:showBubbleSize val="0"/>
        </c:dLbls>
        <c:marker val="1"/>
        <c:smooth val="0"/>
        <c:axId val="641348063"/>
        <c:axId val="641343743"/>
      </c:lineChart>
      <c:catAx>
        <c:axId val="641348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343743"/>
        <c:crosses val="autoZero"/>
        <c:auto val="1"/>
        <c:lblAlgn val="ctr"/>
        <c:lblOffset val="100"/>
        <c:noMultiLvlLbl val="0"/>
      </c:catAx>
      <c:valAx>
        <c:axId val="64134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34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 Project.xlsx]Overview (Dashboard)!MarketShare</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Market Share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'Overview (Dashboard)'!$C$28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581-46A6-86FA-C05AFF22990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581-46A6-86FA-C05AFF22990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581-46A6-86FA-C05AFF22990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581-46A6-86FA-C05AFF22990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581-46A6-86FA-C05AFF22990E}"/>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7581-46A6-86FA-C05AFF22990E}"/>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7581-46A6-86FA-C05AFF22990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'Overview (Dashboard)'!$B$29:$B$30</c:f>
              <c:strCache>
                <c:ptCount val="1"/>
                <c:pt idx="0">
                  <c:v>HiSilicon</c:v>
                </c:pt>
              </c:strCache>
            </c:strRef>
          </c:cat>
          <c:val>
            <c:numRef>
              <c:f>'Overview (Dashboard)'!$C$29:$C$30</c:f>
              <c:numCache>
                <c:formatCode>General</c:formatCode>
                <c:ptCount val="1"/>
                <c:pt idx="0">
                  <c:v>16</c:v>
                </c:pt>
              </c:numCache>
            </c:numRef>
          </c:val>
          <c:extLst>
            <c:ext xmlns:c16="http://schemas.microsoft.com/office/drawing/2014/chart" uri="{C3380CC4-5D6E-409C-BE32-E72D297353CC}">
              <c16:uniqueId val="{00000002-3351-4892-B89B-943E3C3F3825}"/>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 Project.xlsx]PivotTable!Top10_CPU</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c:f>
              <c:strCache>
                <c:ptCount val="1"/>
                <c:pt idx="0">
                  <c:v>Total</c:v>
                </c:pt>
              </c:strCache>
            </c:strRef>
          </c:tx>
          <c:spPr>
            <a:solidFill>
              <a:schemeClr val="accent1"/>
            </a:solidFill>
            <a:ln>
              <a:noFill/>
            </a:ln>
            <a:effectLst/>
          </c:spPr>
          <c:invertIfNegative val="0"/>
          <c:cat>
            <c:strRef>
              <c:f>PivotTable!$A$2:$A$12</c:f>
              <c:strCache>
                <c:ptCount val="10"/>
                <c:pt idx="0">
                  <c:v>A14 Bionic</c:v>
                </c:pt>
                <c:pt idx="1">
                  <c:v>A15 Bionic</c:v>
                </c:pt>
                <c:pt idx="2">
                  <c:v>Dimensity 8100</c:v>
                </c:pt>
                <c:pt idx="3">
                  <c:v>Dimensity 9000</c:v>
                </c:pt>
                <c:pt idx="4">
                  <c:v>Exynos 2100</c:v>
                </c:pt>
                <c:pt idx="5">
                  <c:v>Kirin 9000</c:v>
                </c:pt>
                <c:pt idx="6">
                  <c:v>Kirin 9000E</c:v>
                </c:pt>
                <c:pt idx="7">
                  <c:v>Snapdragon 8 Gen 1</c:v>
                </c:pt>
                <c:pt idx="8">
                  <c:v>Snapdragon 888</c:v>
                </c:pt>
                <c:pt idx="9">
                  <c:v>Snapdragon 888 Plus</c:v>
                </c:pt>
              </c:strCache>
            </c:strRef>
          </c:cat>
          <c:val>
            <c:numRef>
              <c:f>PivotTable!$B$2:$B$12</c:f>
              <c:numCache>
                <c:formatCode>General</c:formatCode>
                <c:ptCount val="10"/>
                <c:pt idx="0">
                  <c:v>4093</c:v>
                </c:pt>
                <c:pt idx="1">
                  <c:v>4688</c:v>
                </c:pt>
                <c:pt idx="2">
                  <c:v>3775</c:v>
                </c:pt>
                <c:pt idx="3">
                  <c:v>4267</c:v>
                </c:pt>
                <c:pt idx="4">
                  <c:v>3580</c:v>
                </c:pt>
                <c:pt idx="5">
                  <c:v>3677</c:v>
                </c:pt>
                <c:pt idx="6">
                  <c:v>3741</c:v>
                </c:pt>
                <c:pt idx="7">
                  <c:v>3765</c:v>
                </c:pt>
                <c:pt idx="8">
                  <c:v>3673</c:v>
                </c:pt>
                <c:pt idx="9">
                  <c:v>3626</c:v>
                </c:pt>
              </c:numCache>
            </c:numRef>
          </c:val>
          <c:extLst>
            <c:ext xmlns:c16="http://schemas.microsoft.com/office/drawing/2014/chart" uri="{C3380CC4-5D6E-409C-BE32-E72D297353CC}">
              <c16:uniqueId val="{00000000-2ECB-48B8-BB19-0F831B857C4A}"/>
            </c:ext>
          </c:extLst>
        </c:ser>
        <c:dLbls>
          <c:showLegendKey val="0"/>
          <c:showVal val="0"/>
          <c:showCatName val="0"/>
          <c:showSerName val="0"/>
          <c:showPercent val="0"/>
          <c:showBubbleSize val="0"/>
        </c:dLbls>
        <c:gapWidth val="182"/>
        <c:axId val="901621296"/>
        <c:axId val="901618896"/>
      </c:barChart>
      <c:catAx>
        <c:axId val="901621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618896"/>
        <c:crosses val="autoZero"/>
        <c:auto val="1"/>
        <c:lblAlgn val="ctr"/>
        <c:lblOffset val="100"/>
        <c:noMultiLvlLbl val="0"/>
      </c:catAx>
      <c:valAx>
        <c:axId val="901618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62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 Project.xlsx]PivotTable!Perbandingan_Core</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PivotTable!$F$1</c:f>
              <c:strCache>
                <c:ptCount val="1"/>
                <c:pt idx="0">
                  <c:v>Sum of geekbenchMulti</c:v>
                </c:pt>
              </c:strCache>
            </c:strRef>
          </c:tx>
          <c:spPr>
            <a:solidFill>
              <a:schemeClr val="accent2"/>
            </a:solidFill>
            <a:ln>
              <a:noFill/>
            </a:ln>
            <a:effectLst/>
          </c:spPr>
          <c:invertIfNegative val="0"/>
          <c:cat>
            <c:strRef>
              <c:f>PivotTable!$D$2:$D$12</c:f>
              <c:strCache>
                <c:ptCount val="10"/>
                <c:pt idx="0">
                  <c:v>A14 Bionic</c:v>
                </c:pt>
                <c:pt idx="1">
                  <c:v>A15 Bionic</c:v>
                </c:pt>
                <c:pt idx="2">
                  <c:v>Dimensity 8100</c:v>
                </c:pt>
                <c:pt idx="3">
                  <c:v>Dimensity 9000</c:v>
                </c:pt>
                <c:pt idx="4">
                  <c:v>Exynos 2100</c:v>
                </c:pt>
                <c:pt idx="5">
                  <c:v>Kirin 9000</c:v>
                </c:pt>
                <c:pt idx="6">
                  <c:v>Kirin 9000E</c:v>
                </c:pt>
                <c:pt idx="7">
                  <c:v>Snapdragon 8 Gen 1</c:v>
                </c:pt>
                <c:pt idx="8">
                  <c:v>Snapdragon 888</c:v>
                </c:pt>
                <c:pt idx="9">
                  <c:v>Snapdragon 888 Plus</c:v>
                </c:pt>
              </c:strCache>
            </c:strRef>
          </c:cat>
          <c:val>
            <c:numRef>
              <c:f>PivotTable!$F$2:$F$12</c:f>
              <c:numCache>
                <c:formatCode>General</c:formatCode>
                <c:ptCount val="10"/>
                <c:pt idx="0">
                  <c:v>4093</c:v>
                </c:pt>
                <c:pt idx="1">
                  <c:v>4688</c:v>
                </c:pt>
                <c:pt idx="2">
                  <c:v>3775</c:v>
                </c:pt>
                <c:pt idx="3">
                  <c:v>4267</c:v>
                </c:pt>
                <c:pt idx="4">
                  <c:v>3580</c:v>
                </c:pt>
                <c:pt idx="5">
                  <c:v>3677</c:v>
                </c:pt>
                <c:pt idx="6">
                  <c:v>3741</c:v>
                </c:pt>
                <c:pt idx="7">
                  <c:v>3765</c:v>
                </c:pt>
                <c:pt idx="8">
                  <c:v>3673</c:v>
                </c:pt>
                <c:pt idx="9">
                  <c:v>3626</c:v>
                </c:pt>
              </c:numCache>
            </c:numRef>
          </c:val>
          <c:extLst>
            <c:ext xmlns:c16="http://schemas.microsoft.com/office/drawing/2014/chart" uri="{C3380CC4-5D6E-409C-BE32-E72D297353CC}">
              <c16:uniqueId val="{00000001-726E-4585-881C-18AFEB91E98B}"/>
            </c:ext>
          </c:extLst>
        </c:ser>
        <c:dLbls>
          <c:showLegendKey val="0"/>
          <c:showVal val="0"/>
          <c:showCatName val="0"/>
          <c:showSerName val="0"/>
          <c:showPercent val="0"/>
          <c:showBubbleSize val="0"/>
        </c:dLbls>
        <c:gapWidth val="219"/>
        <c:axId val="675953920"/>
        <c:axId val="675952960"/>
      </c:barChart>
      <c:lineChart>
        <c:grouping val="standard"/>
        <c:varyColors val="0"/>
        <c:ser>
          <c:idx val="0"/>
          <c:order val="0"/>
          <c:tx>
            <c:strRef>
              <c:f>PivotTable!$E$1</c:f>
              <c:strCache>
                <c:ptCount val="1"/>
                <c:pt idx="0">
                  <c:v>Sum of geekbenchSingle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PivotTable!$D$2:$D$12</c:f>
              <c:strCache>
                <c:ptCount val="10"/>
                <c:pt idx="0">
                  <c:v>A14 Bionic</c:v>
                </c:pt>
                <c:pt idx="1">
                  <c:v>A15 Bionic</c:v>
                </c:pt>
                <c:pt idx="2">
                  <c:v>Dimensity 8100</c:v>
                </c:pt>
                <c:pt idx="3">
                  <c:v>Dimensity 9000</c:v>
                </c:pt>
                <c:pt idx="4">
                  <c:v>Exynos 2100</c:v>
                </c:pt>
                <c:pt idx="5">
                  <c:v>Kirin 9000</c:v>
                </c:pt>
                <c:pt idx="6">
                  <c:v>Kirin 9000E</c:v>
                </c:pt>
                <c:pt idx="7">
                  <c:v>Snapdragon 8 Gen 1</c:v>
                </c:pt>
                <c:pt idx="8">
                  <c:v>Snapdragon 888</c:v>
                </c:pt>
                <c:pt idx="9">
                  <c:v>Snapdragon 888 Plus</c:v>
                </c:pt>
              </c:strCache>
            </c:strRef>
          </c:cat>
          <c:val>
            <c:numRef>
              <c:f>PivotTable!$E$2:$E$12</c:f>
              <c:numCache>
                <c:formatCode>General</c:formatCode>
                <c:ptCount val="10"/>
                <c:pt idx="0">
                  <c:v>1581</c:v>
                </c:pt>
                <c:pt idx="1">
                  <c:v>1727</c:v>
                </c:pt>
                <c:pt idx="2">
                  <c:v>915</c:v>
                </c:pt>
                <c:pt idx="3">
                  <c:v>1269</c:v>
                </c:pt>
                <c:pt idx="4">
                  <c:v>1082</c:v>
                </c:pt>
                <c:pt idx="5">
                  <c:v>1039</c:v>
                </c:pt>
                <c:pt idx="6">
                  <c:v>1060</c:v>
                </c:pt>
                <c:pt idx="7">
                  <c:v>1213</c:v>
                </c:pt>
                <c:pt idx="8">
                  <c:v>1120</c:v>
                </c:pt>
                <c:pt idx="9">
                  <c:v>1162</c:v>
                </c:pt>
              </c:numCache>
            </c:numRef>
          </c:val>
          <c:smooth val="0"/>
          <c:extLst>
            <c:ext xmlns:c16="http://schemas.microsoft.com/office/drawing/2014/chart" uri="{C3380CC4-5D6E-409C-BE32-E72D297353CC}">
              <c16:uniqueId val="{00000000-726E-4585-881C-18AFEB91E98B}"/>
            </c:ext>
          </c:extLst>
        </c:ser>
        <c:dLbls>
          <c:showLegendKey val="0"/>
          <c:showVal val="0"/>
          <c:showCatName val="0"/>
          <c:showSerName val="0"/>
          <c:showPercent val="0"/>
          <c:showBubbleSize val="0"/>
        </c:dLbls>
        <c:marker val="1"/>
        <c:smooth val="0"/>
        <c:axId val="675953920"/>
        <c:axId val="675952960"/>
      </c:lineChart>
      <c:catAx>
        <c:axId val="67595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952960"/>
        <c:crosses val="autoZero"/>
        <c:auto val="1"/>
        <c:lblAlgn val="ctr"/>
        <c:lblOffset val="100"/>
        <c:noMultiLvlLbl val="0"/>
      </c:catAx>
      <c:valAx>
        <c:axId val="67595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95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 Project.xlsx]PivotTable!Evolusi_Performa</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PivotTable!$I$1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PivotTable!$H$2:$H$10</c:f>
              <c:strCache>
                <c:ptCount val="8"/>
                <c:pt idx="0">
                  <c:v>2015</c:v>
                </c:pt>
                <c:pt idx="1">
                  <c:v>2016</c:v>
                </c:pt>
                <c:pt idx="2">
                  <c:v>2017</c:v>
                </c:pt>
                <c:pt idx="3">
                  <c:v>2018</c:v>
                </c:pt>
                <c:pt idx="4">
                  <c:v>2019</c:v>
                </c:pt>
                <c:pt idx="5">
                  <c:v>2020</c:v>
                </c:pt>
                <c:pt idx="6">
                  <c:v>2021</c:v>
                </c:pt>
                <c:pt idx="7">
                  <c:v>2022</c:v>
                </c:pt>
              </c:strCache>
            </c:strRef>
          </c:cat>
          <c:val>
            <c:numRef>
              <c:f>PivotTable!$I$2:$I$10</c:f>
              <c:numCache>
                <c:formatCode>General</c:formatCode>
                <c:ptCount val="8"/>
                <c:pt idx="0">
                  <c:v>1036</c:v>
                </c:pt>
                <c:pt idx="1">
                  <c:v>1151.1666666666667</c:v>
                </c:pt>
                <c:pt idx="2">
                  <c:v>1342.1111111111111</c:v>
                </c:pt>
                <c:pt idx="3">
                  <c:v>1441.1052631578948</c:v>
                </c:pt>
                <c:pt idx="4">
                  <c:v>2039.8947368421052</c:v>
                </c:pt>
                <c:pt idx="5">
                  <c:v>1920.3658536585365</c:v>
                </c:pt>
                <c:pt idx="6">
                  <c:v>2560.909090909091</c:v>
                </c:pt>
                <c:pt idx="7">
                  <c:v>3127</c:v>
                </c:pt>
              </c:numCache>
            </c:numRef>
          </c:val>
          <c:smooth val="0"/>
          <c:extLst>
            <c:ext xmlns:c16="http://schemas.microsoft.com/office/drawing/2014/chart" uri="{C3380CC4-5D6E-409C-BE32-E72D297353CC}">
              <c16:uniqueId val="{00000000-C9AA-4CDE-8988-4CE0F8BAE88F}"/>
            </c:ext>
          </c:extLst>
        </c:ser>
        <c:dLbls>
          <c:showLegendKey val="0"/>
          <c:showVal val="0"/>
          <c:showCatName val="0"/>
          <c:showSerName val="0"/>
          <c:showPercent val="0"/>
          <c:showBubbleSize val="0"/>
        </c:dLbls>
        <c:marker val="1"/>
        <c:smooth val="0"/>
        <c:axId val="194015135"/>
        <c:axId val="194015615"/>
      </c:lineChart>
      <c:catAx>
        <c:axId val="19401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15615"/>
        <c:crosses val="autoZero"/>
        <c:auto val="1"/>
        <c:lblAlgn val="ctr"/>
        <c:lblOffset val="100"/>
        <c:noMultiLvlLbl val="0"/>
      </c:catAx>
      <c:valAx>
        <c:axId val="1940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1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 Project.xlsx]PivotTable!MarketShare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PivotTable!$L$1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BC-4211-835F-E043FE1EC3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BC-4211-835F-E043FE1EC3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BC-4211-835F-E043FE1EC32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BC-4211-835F-E043FE1EC32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EBC-4211-835F-E043FE1EC32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EBC-4211-835F-E043FE1EC32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EBC-4211-835F-E043FE1EC32F}"/>
              </c:ext>
            </c:extLst>
          </c:dPt>
          <c:cat>
            <c:strRef>
              <c:f>PivotTable!$K$2:$K$9</c:f>
              <c:strCache>
                <c:ptCount val="7"/>
                <c:pt idx="0">
                  <c:v>Apple</c:v>
                </c:pt>
                <c:pt idx="1">
                  <c:v>Google</c:v>
                </c:pt>
                <c:pt idx="2">
                  <c:v>HiSilicon</c:v>
                </c:pt>
                <c:pt idx="3">
                  <c:v>MediaTek</c:v>
                </c:pt>
                <c:pt idx="4">
                  <c:v>Qualcomm</c:v>
                </c:pt>
                <c:pt idx="5">
                  <c:v>Samsung</c:v>
                </c:pt>
                <c:pt idx="6">
                  <c:v>Unisoc</c:v>
                </c:pt>
              </c:strCache>
            </c:strRef>
          </c:cat>
          <c:val>
            <c:numRef>
              <c:f>PivotTable!$L$2:$L$9</c:f>
              <c:numCache>
                <c:formatCode>General</c:formatCode>
                <c:ptCount val="7"/>
                <c:pt idx="0">
                  <c:v>7</c:v>
                </c:pt>
                <c:pt idx="1">
                  <c:v>1</c:v>
                </c:pt>
                <c:pt idx="2">
                  <c:v>16</c:v>
                </c:pt>
                <c:pt idx="3">
                  <c:v>33</c:v>
                </c:pt>
                <c:pt idx="4">
                  <c:v>42</c:v>
                </c:pt>
                <c:pt idx="5">
                  <c:v>21</c:v>
                </c:pt>
                <c:pt idx="6">
                  <c:v>5</c:v>
                </c:pt>
              </c:numCache>
            </c:numRef>
          </c:val>
          <c:extLst>
            <c:ext xmlns:c16="http://schemas.microsoft.com/office/drawing/2014/chart" uri="{C3380CC4-5D6E-409C-BE32-E72D297353CC}">
              <c16:uniqueId val="{00000000-139B-416C-B820-18E5031EDD7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2177</xdr:colOff>
      <xdr:row>0</xdr:row>
      <xdr:rowOff>0</xdr:rowOff>
    </xdr:from>
    <xdr:to>
      <xdr:col>17</xdr:col>
      <xdr:colOff>278674</xdr:colOff>
      <xdr:row>8</xdr:row>
      <xdr:rowOff>19049</xdr:rowOff>
    </xdr:to>
    <xdr:sp macro="" textlink="">
      <xdr:nvSpPr>
        <xdr:cNvPr id="149" name="Rectangle: Top Corners Rounded 8">
          <a:extLst>
            <a:ext uri="{FF2B5EF4-FFF2-40B4-BE49-F238E27FC236}">
              <a16:creationId xmlns:a16="http://schemas.microsoft.com/office/drawing/2014/main" id="{961320FF-EB71-46DC-80CB-9E2706EE61E0}"/>
            </a:ext>
            <a:ext uri="{147F2762-F138-4A5C-976F-8EAC2B608ADB}">
              <a16:predDERef xmlns:a16="http://schemas.microsoft.com/office/drawing/2014/main" pred="{B01BF81F-59EE-5AF2-3C3E-8C5AA683BAAC}"/>
            </a:ext>
          </a:extLst>
        </xdr:cNvPr>
        <xdr:cNvSpPr/>
      </xdr:nvSpPr>
      <xdr:spPr>
        <a:xfrm flipV="1">
          <a:off x="246017" y="0"/>
          <a:ext cx="18937877" cy="1504949"/>
        </a:xfrm>
        <a:prstGeom prst="round2Same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xdr:col>
      <xdr:colOff>228495</xdr:colOff>
      <xdr:row>1</xdr:row>
      <xdr:rowOff>95773</xdr:rowOff>
    </xdr:from>
    <xdr:to>
      <xdr:col>6</xdr:col>
      <xdr:colOff>174172</xdr:colOff>
      <xdr:row>7</xdr:row>
      <xdr:rowOff>15491</xdr:rowOff>
    </xdr:to>
    <xdr:sp macro="" textlink="">
      <xdr:nvSpPr>
        <xdr:cNvPr id="150" name="TextBox 1">
          <a:extLst>
            <a:ext uri="{FF2B5EF4-FFF2-40B4-BE49-F238E27FC236}">
              <a16:creationId xmlns:a16="http://schemas.microsoft.com/office/drawing/2014/main" id="{567EFEC2-9AC4-276F-5A21-0E64DE25BB84}"/>
            </a:ext>
            <a:ext uri="{147F2762-F138-4A5C-976F-8EAC2B608ADB}">
              <a16:predDERef xmlns:a16="http://schemas.microsoft.com/office/drawing/2014/main" pred="{961320FF-EB71-46DC-80CB-9E2706EE61E0}"/>
            </a:ext>
          </a:extLst>
        </xdr:cNvPr>
        <xdr:cNvSpPr txBox="1"/>
      </xdr:nvSpPr>
      <xdr:spPr>
        <a:xfrm>
          <a:off x="474680" y="283342"/>
          <a:ext cx="4951430" cy="1045134"/>
        </a:xfrm>
        <a:prstGeom prst="rect">
          <a:avLst/>
        </a:prstGeom>
        <a:noFill/>
        <a:ln>
          <a:noFill/>
        </a:ln>
      </xdr:spPr>
      <xdr:style>
        <a:lnRef idx="2">
          <a:schemeClr val="accent5">
            <a:shade val="15000"/>
          </a:schemeClr>
        </a:lnRef>
        <a:fillRef idx="1">
          <a:schemeClr val="accent5"/>
        </a:fillRef>
        <a:effectRef idx="0">
          <a:schemeClr val="accent5"/>
        </a:effectRef>
        <a:fontRef idx="minor">
          <a:schemeClr val="lt1"/>
        </a:fontRef>
      </xdr:style>
      <xdr:txBody>
        <a:bodyPr spcFirstLastPara="0" vertOverflow="clip" horzOverflow="clip" wrap="square" lIns="91440" tIns="45720" rIns="91440" bIns="45720" rtlCol="0" anchor="t">
          <a:noAutofit/>
        </a:bodyPr>
        <a:lstStyle/>
        <a:p>
          <a:pPr marL="0" marR="0" indent="0" algn="l">
            <a:lnSpc>
              <a:spcPct val="100000"/>
            </a:lnSpc>
            <a:spcBef>
              <a:spcPts val="0"/>
            </a:spcBef>
            <a:spcAft>
              <a:spcPts val="0"/>
            </a:spcAft>
          </a:pPr>
          <a:r>
            <a:rPr lang="en-US" sz="2800" b="0" i="0" u="none" strike="noStrike">
              <a:solidFill>
                <a:schemeClr val="bg1"/>
              </a:solidFill>
              <a:latin typeface="Nordique Inline" panose="00000500000000000000" pitchFamily="2" charset="0"/>
            </a:rPr>
            <a:t>SMARTPHONES CPU PERFORMANCE </a:t>
          </a:r>
          <a:r>
            <a:rPr lang="en-US" sz="2800" b="0" i="0">
              <a:solidFill>
                <a:schemeClr val="bg1"/>
              </a:solidFill>
              <a:latin typeface="Nordique Inline" panose="00000500000000000000" pitchFamily="2" charset="0"/>
            </a:rPr>
            <a:t>DASHBOARD</a:t>
          </a:r>
        </a:p>
      </xdr:txBody>
    </xdr:sp>
    <xdr:clientData/>
  </xdr:twoCellAnchor>
  <xdr:twoCellAnchor>
    <xdr:from>
      <xdr:col>11</xdr:col>
      <xdr:colOff>1023255</xdr:colOff>
      <xdr:row>0</xdr:row>
      <xdr:rowOff>0</xdr:rowOff>
    </xdr:from>
    <xdr:to>
      <xdr:col>15</xdr:col>
      <xdr:colOff>435429</xdr:colOff>
      <xdr:row>7</xdr:row>
      <xdr:rowOff>97971</xdr:rowOff>
    </xdr:to>
    <xdr:sp macro="" textlink="">
      <xdr:nvSpPr>
        <xdr:cNvPr id="142" name="Round Same Side Corner Rectangle 36">
          <a:extLst>
            <a:ext uri="{FF2B5EF4-FFF2-40B4-BE49-F238E27FC236}">
              <a16:creationId xmlns:a16="http://schemas.microsoft.com/office/drawing/2014/main" id="{B01BF81F-59EE-5AF2-3C3E-8C5AA683BAAC}"/>
            </a:ext>
            <a:ext uri="{147F2762-F138-4A5C-976F-8EAC2B608ADB}">
              <a16:predDERef xmlns:a16="http://schemas.microsoft.com/office/drawing/2014/main" pred="{08BEC40C-6558-EE54-F4C0-7F34DB0D5E89}"/>
            </a:ext>
          </a:extLst>
        </xdr:cNvPr>
        <xdr:cNvSpPr/>
      </xdr:nvSpPr>
      <xdr:spPr>
        <a:xfrm rot="10800000">
          <a:off x="12877798" y="0"/>
          <a:ext cx="4136574" cy="1426028"/>
        </a:xfrm>
        <a:prstGeom prst="round2SameRect">
          <a:avLst/>
        </a:prstGeom>
      </xdr:spPr>
      <xdr:style>
        <a:lnRef idx="2">
          <a:schemeClr val="accent1"/>
        </a:lnRef>
        <a:fillRef idx="1">
          <a:schemeClr val="lt1"/>
        </a:fillRef>
        <a:effectRef idx="0">
          <a:schemeClr val="accent1"/>
        </a:effectRef>
        <a:fontRef idx="minor">
          <a:schemeClr val="dk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editAs="oneCell">
    <xdr:from>
      <xdr:col>15</xdr:col>
      <xdr:colOff>761999</xdr:colOff>
      <xdr:row>0</xdr:row>
      <xdr:rowOff>146957</xdr:rowOff>
    </xdr:from>
    <xdr:to>
      <xdr:col>16</xdr:col>
      <xdr:colOff>115535</xdr:colOff>
      <xdr:row>6</xdr:row>
      <xdr:rowOff>130876</xdr:rowOff>
    </xdr:to>
    <xdr:pic>
      <xdr:nvPicPr>
        <xdr:cNvPr id="145" name="Picture 45">
          <a:extLst>
            <a:ext uri="{FF2B5EF4-FFF2-40B4-BE49-F238E27FC236}">
              <a16:creationId xmlns:a16="http://schemas.microsoft.com/office/drawing/2014/main" id="{9A3BD03C-9134-3F47-351F-73F88965A849}"/>
            </a:ext>
            <a:ext uri="{147F2762-F138-4A5C-976F-8EAC2B608ADB}">
              <a16:predDERef xmlns:a16="http://schemas.microsoft.com/office/drawing/2014/main" pred="{8968A56E-9AC1-3DE3-7CA8-F596F75045C6}"/>
            </a:ext>
          </a:extLst>
        </xdr:cNvPr>
        <xdr:cNvPicPr>
          <a:picLocks noChangeAspect="1"/>
        </xdr:cNvPicPr>
      </xdr:nvPicPr>
      <xdr:blipFill>
        <a:blip xmlns:r="http://schemas.openxmlformats.org/officeDocument/2006/relationships" r:embed="rId1"/>
        <a:stretch>
          <a:fillRect/>
        </a:stretch>
      </xdr:blipFill>
      <xdr:spPr>
        <a:xfrm>
          <a:off x="17340942" y="146957"/>
          <a:ext cx="1106136" cy="1126919"/>
        </a:xfrm>
        <a:prstGeom prst="rect">
          <a:avLst/>
        </a:prstGeom>
      </xdr:spPr>
    </xdr:pic>
    <xdr:clientData/>
  </xdr:twoCellAnchor>
  <xdr:twoCellAnchor editAs="oneCell">
    <xdr:from>
      <xdr:col>11</xdr:col>
      <xdr:colOff>1195946</xdr:colOff>
      <xdr:row>0</xdr:row>
      <xdr:rowOff>85427</xdr:rowOff>
    </xdr:from>
    <xdr:to>
      <xdr:col>14</xdr:col>
      <xdr:colOff>463732</xdr:colOff>
      <xdr:row>6</xdr:row>
      <xdr:rowOff>174171</xdr:rowOff>
    </xdr:to>
    <mc:AlternateContent xmlns:mc="http://schemas.openxmlformats.org/markup-compatibility/2006" xmlns:a14="http://schemas.microsoft.com/office/drawing/2010/main">
      <mc:Choice Requires="a14">
        <xdr:graphicFrame macro="">
          <xdr:nvGraphicFramePr>
            <xdr:cNvPr id="143" name="company">
              <a:extLst>
                <a:ext uri="{FF2B5EF4-FFF2-40B4-BE49-F238E27FC236}">
                  <a16:creationId xmlns:a16="http://schemas.microsoft.com/office/drawing/2014/main" id="{FEA0B838-CA2F-1702-9C80-307179716FBA}"/>
                </a:ext>
                <a:ext uri="{147F2762-F138-4A5C-976F-8EAC2B608ADB}">
                  <a16:predDERef xmlns:a16="http://schemas.microsoft.com/office/drawing/2014/main" pred="{9A3BD03C-9134-3F47-351F-73F88965A849}"/>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13050489" y="85427"/>
              <a:ext cx="1820486" cy="123174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13</xdr:col>
      <xdr:colOff>240476</xdr:colOff>
      <xdr:row>9</xdr:row>
      <xdr:rowOff>168729</xdr:rowOff>
    </xdr:from>
    <xdr:to>
      <xdr:col>17</xdr:col>
      <xdr:colOff>352424</xdr:colOff>
      <xdr:row>25</xdr:row>
      <xdr:rowOff>84611</xdr:rowOff>
    </xdr:to>
    <xdr:graphicFrame macro="">
      <xdr:nvGraphicFramePr>
        <xdr:cNvPr id="34" name="Chart 22">
          <a:extLst>
            <a:ext uri="{FF2B5EF4-FFF2-40B4-BE49-F238E27FC236}">
              <a16:creationId xmlns:a16="http://schemas.microsoft.com/office/drawing/2014/main" id="{B6DC2505-E6FC-7057-8669-748389CF5934}"/>
            </a:ext>
            <a:ext uri="{147F2762-F138-4A5C-976F-8EAC2B608ADB}">
              <a16:predDERef xmlns:a16="http://schemas.microsoft.com/office/drawing/2014/main" pred="{FEA0B838-CA2F-1702-9C80-307179716F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9</xdr:col>
      <xdr:colOff>133252</xdr:colOff>
      <xdr:row>9</xdr:row>
      <xdr:rowOff>135949</xdr:rowOff>
    </xdr:from>
    <xdr:to>
      <xdr:col>12</xdr:col>
      <xdr:colOff>259895</xdr:colOff>
      <xdr:row>25</xdr:row>
      <xdr:rowOff>86220</xdr:rowOff>
    </xdr:to>
    <xdr:graphicFrame macro="">
      <xdr:nvGraphicFramePr>
        <xdr:cNvPr id="35" name="Chart 23">
          <a:extLst>
            <a:ext uri="{FF2B5EF4-FFF2-40B4-BE49-F238E27FC236}">
              <a16:creationId xmlns:a16="http://schemas.microsoft.com/office/drawing/2014/main" id="{08BEC40C-6558-EE54-F4C0-7F34DB0D5E89}"/>
            </a:ext>
            <a:ext uri="{147F2762-F138-4A5C-976F-8EAC2B608ADB}">
              <a16:predDERef xmlns:a16="http://schemas.microsoft.com/office/drawing/2014/main" pred="{B6DC2505-E6FC-7057-8669-748389CF59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4</xdr:col>
      <xdr:colOff>97376</xdr:colOff>
      <xdr:row>9</xdr:row>
      <xdr:rowOff>126548</xdr:rowOff>
    </xdr:from>
    <xdr:to>
      <xdr:col>8</xdr:col>
      <xdr:colOff>111579</xdr:colOff>
      <xdr:row>25</xdr:row>
      <xdr:rowOff>41071</xdr:rowOff>
    </xdr:to>
    <xdr:graphicFrame macro="">
      <xdr:nvGraphicFramePr>
        <xdr:cNvPr id="37" name="Chart 24">
          <a:extLst>
            <a:ext uri="{FF2B5EF4-FFF2-40B4-BE49-F238E27FC236}">
              <a16:creationId xmlns:a16="http://schemas.microsoft.com/office/drawing/2014/main" id="{498796B4-6B2A-744B-DC49-053C421093F7}"/>
            </a:ext>
            <a:ext uri="{147F2762-F138-4A5C-976F-8EAC2B608ADB}">
              <a16:predDERef xmlns:a16="http://schemas.microsoft.com/office/drawing/2014/main" pred="{08BEC40C-6558-EE54-F4C0-7F34DB0D5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10639</xdr:colOff>
      <xdr:row>9</xdr:row>
      <xdr:rowOff>97972</xdr:rowOff>
    </xdr:from>
    <xdr:to>
      <xdr:col>3</xdr:col>
      <xdr:colOff>98417</xdr:colOff>
      <xdr:row>25</xdr:row>
      <xdr:rowOff>27215</xdr:rowOff>
    </xdr:to>
    <xdr:graphicFrame macro="">
      <xdr:nvGraphicFramePr>
        <xdr:cNvPr id="38" name="Chart 25">
          <a:extLst>
            <a:ext uri="{FF2B5EF4-FFF2-40B4-BE49-F238E27FC236}">
              <a16:creationId xmlns:a16="http://schemas.microsoft.com/office/drawing/2014/main" id="{099CB41D-8A24-A326-4A62-2B68348BC824}"/>
            </a:ext>
            <a:ext uri="{147F2762-F138-4A5C-976F-8EAC2B608ADB}">
              <a16:predDERef xmlns:a16="http://schemas.microsoft.com/office/drawing/2014/main" pred="{498796B4-6B2A-744B-DC49-053C42109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520337</xdr:colOff>
      <xdr:row>0</xdr:row>
      <xdr:rowOff>96610</xdr:rowOff>
    </xdr:from>
    <xdr:to>
      <xdr:col>15</xdr:col>
      <xdr:colOff>288471</xdr:colOff>
      <xdr:row>6</xdr:row>
      <xdr:rowOff>152399</xdr:rowOff>
    </xdr:to>
    <mc:AlternateContent xmlns:mc="http://schemas.openxmlformats.org/markup-compatibility/2006" xmlns:a14="http://schemas.microsoft.com/office/drawing/2010/main">
      <mc:Choice Requires="a14">
        <xdr:graphicFrame macro="">
          <xdr:nvGraphicFramePr>
            <xdr:cNvPr id="144" name="coreCount">
              <a:extLst>
                <a:ext uri="{FF2B5EF4-FFF2-40B4-BE49-F238E27FC236}">
                  <a16:creationId xmlns:a16="http://schemas.microsoft.com/office/drawing/2014/main" id="{EDDA8749-370C-6E07-F70E-19DA9E114285}"/>
                </a:ext>
                <a:ext uri="{147F2762-F138-4A5C-976F-8EAC2B608ADB}">
                  <a16:predDERef xmlns:a16="http://schemas.microsoft.com/office/drawing/2014/main" pred="{099CB41D-8A24-A326-4A62-2B68348BC824}"/>
                </a:ext>
              </a:extLst>
            </xdr:cNvPr>
            <xdr:cNvGraphicFramePr/>
          </xdr:nvGraphicFramePr>
          <xdr:xfrm>
            <a:off x="0" y="0"/>
            <a:ext cx="0" cy="0"/>
          </xdr:xfrm>
          <a:graphic>
            <a:graphicData uri="http://schemas.microsoft.com/office/drawing/2010/slicer">
              <sle:slicer xmlns:sle="http://schemas.microsoft.com/office/drawing/2010/slicer" name="coreCount"/>
            </a:graphicData>
          </a:graphic>
        </xdr:graphicFrame>
      </mc:Choice>
      <mc:Fallback xmlns="">
        <xdr:sp macro="" textlink="">
          <xdr:nvSpPr>
            <xdr:cNvPr id="0" name=""/>
            <xdr:cNvSpPr>
              <a:spLocks noTextEdit="1"/>
            </xdr:cNvSpPr>
          </xdr:nvSpPr>
          <xdr:spPr>
            <a:xfrm>
              <a:off x="14998337" y="96610"/>
              <a:ext cx="1816009" cy="119878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236220</xdr:colOff>
      <xdr:row>4</xdr:row>
      <xdr:rowOff>170195</xdr:rowOff>
    </xdr:from>
    <xdr:ext cx="1798250" cy="382304"/>
    <xdr:sp macro="" textlink="$L$1">
      <xdr:nvSpPr>
        <xdr:cNvPr id="3" name="Rectangle: Rounded Corners 2">
          <a:extLst>
            <a:ext uri="{FF2B5EF4-FFF2-40B4-BE49-F238E27FC236}">
              <a16:creationId xmlns:a16="http://schemas.microsoft.com/office/drawing/2014/main" id="{18492DFF-292A-F0AA-0465-822AEC390AED}"/>
            </a:ext>
            <a:ext uri="{147F2762-F138-4A5C-976F-8EAC2B608ADB}">
              <a16:predDERef xmlns:a16="http://schemas.microsoft.com/office/drawing/2014/main" pred="{608A66C6-6A10-4C4D-DC7D-3EE35E0760FD}"/>
            </a:ext>
          </a:extLst>
        </xdr:cNvPr>
        <xdr:cNvSpPr/>
      </xdr:nvSpPr>
      <xdr:spPr>
        <a:xfrm>
          <a:off x="5501640" y="916955"/>
          <a:ext cx="1798250" cy="382304"/>
        </a:xfrm>
        <a:prstGeom prst="roundRect">
          <a:avLst/>
        </a:prstGeom>
        <a:solidFill>
          <a:schemeClr val="bg1">
            <a:alpha val="95000"/>
          </a:schemeClr>
        </a:solidFill>
        <a:ln w="28575">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rtlCol="0" anchor="ctr">
          <a:spAutoFit/>
        </a:bodyPr>
        <a:lstStyle/>
        <a:p>
          <a:pPr algn="ctr"/>
          <a:fld id="{F1FF3634-DBCC-4A66-87FE-FF777B7C3C7B}" type="TxLink">
            <a:rPr lang="en-US" sz="1400" b="1" i="0" u="none" strike="noStrike">
              <a:solidFill>
                <a:schemeClr val="accent2">
                  <a:lumMod val="75000"/>
                </a:schemeClr>
              </a:solidFill>
              <a:latin typeface="Arial Black" panose="020B0A04020102020204" pitchFamily="34" charset="0"/>
              <a:ea typeface="Calibri"/>
              <a:cs typeface="Calibri"/>
            </a:rPr>
            <a:pPr algn="ctr"/>
            <a:t>2049,4375</a:t>
          </a:fld>
          <a:endParaRPr lang="en-US" sz="1400" b="1" i="0" u="none" strike="noStrike">
            <a:solidFill>
              <a:schemeClr val="accent2">
                <a:lumMod val="75000"/>
              </a:schemeClr>
            </a:solidFill>
            <a:latin typeface="Arial Black" panose="020B0A04020102020204" pitchFamily="34" charset="0"/>
            <a:ea typeface="Calibri"/>
            <a:cs typeface="Calibri"/>
          </a:endParaRPr>
        </a:p>
      </xdr:txBody>
    </xdr:sp>
    <xdr:clientData/>
  </xdr:oneCellAnchor>
  <xdr:oneCellAnchor>
    <xdr:from>
      <xdr:col>5</xdr:col>
      <xdr:colOff>729470</xdr:colOff>
      <xdr:row>0</xdr:row>
      <xdr:rowOff>152042</xdr:rowOff>
    </xdr:from>
    <xdr:ext cx="2448000" cy="662451"/>
    <xdr:sp macro="" textlink="">
      <xdr:nvSpPr>
        <xdr:cNvPr id="4" name="Rectangle: Rounded Corners 2">
          <a:extLst>
            <a:ext uri="{FF2B5EF4-FFF2-40B4-BE49-F238E27FC236}">
              <a16:creationId xmlns:a16="http://schemas.microsoft.com/office/drawing/2014/main" id="{D3336AF3-F200-0CDB-24F6-8340E6919B38}"/>
            </a:ext>
            <a:ext uri="{147F2762-F138-4A5C-976F-8EAC2B608ADB}">
              <a16:predDERef xmlns:a16="http://schemas.microsoft.com/office/drawing/2014/main" pred="{608A66C6-6A10-4C4D-DC7D-3EE35E0760FD}"/>
            </a:ext>
          </a:extLst>
        </xdr:cNvPr>
        <xdr:cNvSpPr/>
      </xdr:nvSpPr>
      <xdr:spPr>
        <a:xfrm>
          <a:off x="5194790" y="152042"/>
          <a:ext cx="2448000" cy="662451"/>
        </a:xfrm>
        <a:prstGeom prst="roundRect">
          <a:avLst/>
        </a:prstGeom>
        <a:solidFill>
          <a:schemeClr val="bg1">
            <a:alpha val="95000"/>
          </a:schemeClr>
        </a:solidFill>
        <a:ln w="28575">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rtlCol="0" anchor="ctr">
          <a:spAutoFit/>
        </a:bodyPr>
        <a:lstStyle/>
        <a:p>
          <a:pPr algn="ctr"/>
          <a:r>
            <a:rPr lang="en-US" sz="1400" b="1" i="0" u="none" strike="noStrike">
              <a:solidFill>
                <a:schemeClr val="accent5"/>
              </a:solidFill>
              <a:latin typeface="Arial Black" panose="020B0A04020102020204" pitchFamily="34" charset="0"/>
              <a:ea typeface="Calibri"/>
              <a:cs typeface="Calibri"/>
            </a:rPr>
            <a:t>Averag</a:t>
          </a:r>
          <a:r>
            <a:rPr lang="en-US" sz="1400" b="1" i="0" u="none" strike="noStrike" baseline="0">
              <a:solidFill>
                <a:schemeClr val="accent5"/>
              </a:solidFill>
              <a:latin typeface="Arial Black" panose="020B0A04020102020204" pitchFamily="34" charset="0"/>
              <a:ea typeface="Calibri"/>
              <a:cs typeface="Calibri"/>
            </a:rPr>
            <a:t>e Geekbench Score</a:t>
          </a:r>
          <a:endParaRPr lang="en-US" sz="1400" b="1" i="0" u="none" strike="noStrike">
            <a:solidFill>
              <a:schemeClr val="accent5"/>
            </a:solidFill>
            <a:latin typeface="Arial Black" panose="020B0A04020102020204" pitchFamily="34" charset="0"/>
            <a:ea typeface="Calibri"/>
            <a:cs typeface="Calibri"/>
          </a:endParaRPr>
        </a:p>
      </xdr:txBody>
    </xdr:sp>
    <xdr:clientData/>
  </xdr:oneCellAnchor>
  <xdr:oneCellAnchor>
    <xdr:from>
      <xdr:col>9</xdr:col>
      <xdr:colOff>4649</xdr:colOff>
      <xdr:row>4</xdr:row>
      <xdr:rowOff>149956</xdr:rowOff>
    </xdr:from>
    <xdr:ext cx="1800000" cy="382304"/>
    <xdr:sp macro="" textlink="$L$2">
      <xdr:nvSpPr>
        <xdr:cNvPr id="5" name="Rectangle: Rounded Corners 2">
          <a:extLst>
            <a:ext uri="{FF2B5EF4-FFF2-40B4-BE49-F238E27FC236}">
              <a16:creationId xmlns:a16="http://schemas.microsoft.com/office/drawing/2014/main" id="{5EF17FC2-3D8B-983C-AA1D-59B48AD94D06}"/>
            </a:ext>
            <a:ext uri="{147F2762-F138-4A5C-976F-8EAC2B608ADB}">
              <a16:predDERef xmlns:a16="http://schemas.microsoft.com/office/drawing/2014/main" pred="{567EFEC2-9AC4-276F-5A21-0E64DE25BB84}"/>
            </a:ext>
          </a:extLst>
        </xdr:cNvPr>
        <xdr:cNvSpPr/>
      </xdr:nvSpPr>
      <xdr:spPr>
        <a:xfrm>
          <a:off x="8401889" y="896716"/>
          <a:ext cx="1800000" cy="382304"/>
        </a:xfrm>
        <a:prstGeom prst="roundRect">
          <a:avLst/>
        </a:prstGeom>
        <a:solidFill>
          <a:schemeClr val="bg1"/>
        </a:solidFill>
        <a:ln w="19050">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overflow" horzOverflow="overflow" wrap="square" rtlCol="0" anchor="ctr">
          <a:spAutoFit/>
        </a:bodyPr>
        <a:lstStyle/>
        <a:p>
          <a:pPr algn="ctr"/>
          <a:fld id="{AB34CECA-347C-4E22-8C2B-2BBD5440F0DE}" type="TxLink">
            <a:rPr lang="en-US" sz="1400" b="0" i="0" u="none" strike="noStrike">
              <a:solidFill>
                <a:schemeClr val="accent2">
                  <a:lumMod val="75000"/>
                </a:schemeClr>
              </a:solidFill>
              <a:latin typeface="Arial Black" panose="020B0A04020102020204" pitchFamily="34" charset="0"/>
              <a:ea typeface="Calibri"/>
              <a:cs typeface="Calibri"/>
            </a:rPr>
            <a:pPr algn="ctr"/>
            <a:t>501640,7778</a:t>
          </a:fld>
          <a:endParaRPr lang="en-ID" sz="3600" b="1">
            <a:solidFill>
              <a:schemeClr val="accent2">
                <a:lumMod val="75000"/>
              </a:schemeClr>
            </a:solidFill>
            <a:latin typeface="Arial Black" panose="020B0A04020102020204" pitchFamily="34" charset="0"/>
          </a:endParaRPr>
        </a:p>
      </xdr:txBody>
    </xdr:sp>
    <xdr:clientData/>
  </xdr:oneCellAnchor>
  <xdr:oneCellAnchor>
    <xdr:from>
      <xdr:col>8</xdr:col>
      <xdr:colOff>57989</xdr:colOff>
      <xdr:row>0</xdr:row>
      <xdr:rowOff>162282</xdr:rowOff>
    </xdr:from>
    <xdr:ext cx="2448000" cy="662451"/>
    <xdr:sp macro="" textlink="">
      <xdr:nvSpPr>
        <xdr:cNvPr id="6" name="Rectangle: Rounded Corners 2">
          <a:extLst>
            <a:ext uri="{FF2B5EF4-FFF2-40B4-BE49-F238E27FC236}">
              <a16:creationId xmlns:a16="http://schemas.microsoft.com/office/drawing/2014/main" id="{E176E84F-D6C1-471A-270B-3F84DAAFAC63}"/>
            </a:ext>
            <a:ext uri="{147F2762-F138-4A5C-976F-8EAC2B608ADB}">
              <a16:predDERef xmlns:a16="http://schemas.microsoft.com/office/drawing/2014/main" pred="{567EFEC2-9AC4-276F-5A21-0E64DE25BB84}"/>
            </a:ext>
          </a:extLst>
        </xdr:cNvPr>
        <xdr:cNvSpPr/>
      </xdr:nvSpPr>
      <xdr:spPr>
        <a:xfrm>
          <a:off x="8066609" y="162282"/>
          <a:ext cx="2448000" cy="662451"/>
        </a:xfrm>
        <a:prstGeom prst="roundRect">
          <a:avLst/>
        </a:prstGeom>
        <a:solidFill>
          <a:schemeClr val="bg1"/>
        </a:solidFill>
        <a:ln w="19050">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overflow" horzOverflow="overflow" wrap="square" rtlCol="0" anchor="ctr">
          <a:spAutoFit/>
        </a:bodyPr>
        <a:lstStyle/>
        <a:p>
          <a:pPr algn="ctr"/>
          <a:r>
            <a:rPr lang="en-US" sz="1400" b="1" i="0" u="none" strike="noStrike">
              <a:solidFill>
                <a:schemeClr val="accent5"/>
              </a:solidFill>
              <a:latin typeface="Arial Black" panose="020B0A04020102020204" pitchFamily="34" charset="0"/>
              <a:ea typeface="Calibri"/>
              <a:cs typeface="Calibri"/>
            </a:rPr>
            <a:t>Average AnTuTu Score</a:t>
          </a:r>
        </a:p>
      </xdr:txBody>
    </xdr:sp>
    <xdr:clientData/>
  </xdr:oneCellAnchor>
  <xdr:oneCellAnchor>
    <xdr:from>
      <xdr:col>10</xdr:col>
      <xdr:colOff>876299</xdr:colOff>
      <xdr:row>1</xdr:row>
      <xdr:rowOff>88995</xdr:rowOff>
    </xdr:from>
    <xdr:ext cx="1800000" cy="382304"/>
    <xdr:sp macro="" textlink="">
      <xdr:nvSpPr>
        <xdr:cNvPr id="7" name="Rectangle: Rounded Corners 2">
          <a:extLst>
            <a:ext uri="{FF2B5EF4-FFF2-40B4-BE49-F238E27FC236}">
              <a16:creationId xmlns:a16="http://schemas.microsoft.com/office/drawing/2014/main" id="{7F4FB3B5-0D6E-AC2D-CE48-1F39EB531185}"/>
            </a:ext>
            <a:ext uri="{147F2762-F138-4A5C-976F-8EAC2B608ADB}">
              <a16:predDERef xmlns:a16="http://schemas.microsoft.com/office/drawing/2014/main" pred="{567EFEC2-9AC4-276F-5A21-0E64DE25BB84}"/>
            </a:ext>
          </a:extLst>
        </xdr:cNvPr>
        <xdr:cNvSpPr/>
      </xdr:nvSpPr>
      <xdr:spPr>
        <a:xfrm>
          <a:off x="10850879" y="271875"/>
          <a:ext cx="1800000" cy="382304"/>
        </a:xfrm>
        <a:prstGeom prst="roundRect">
          <a:avLst/>
        </a:prstGeom>
        <a:solidFill>
          <a:schemeClr val="bg1"/>
        </a:solidFill>
        <a:ln w="19050">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overflow" horzOverflow="overflow" wrap="square" rtlCol="0" anchor="ctr">
          <a:spAutoFit/>
        </a:bodyPr>
        <a:lstStyle/>
        <a:p>
          <a:pPr algn="ctr"/>
          <a:r>
            <a:rPr lang="en-US" sz="1400" b="1" i="0" u="none" strike="noStrike">
              <a:solidFill>
                <a:schemeClr val="accent5"/>
              </a:solidFill>
              <a:latin typeface="Arial Black" panose="020B0A04020102020204" pitchFamily="34" charset="0"/>
              <a:ea typeface="Calibri"/>
              <a:cs typeface="Calibri"/>
            </a:rPr>
            <a:t>Total CPU</a:t>
          </a:r>
        </a:p>
      </xdr:txBody>
    </xdr:sp>
    <xdr:clientData/>
  </xdr:oneCellAnchor>
  <xdr:oneCellAnchor>
    <xdr:from>
      <xdr:col>10</xdr:col>
      <xdr:colOff>1188719</xdr:colOff>
      <xdr:row>3</xdr:row>
      <xdr:rowOff>163845</xdr:rowOff>
    </xdr:from>
    <xdr:ext cx="1260000" cy="382304"/>
    <xdr:sp macro="" textlink="$L$3">
      <xdr:nvSpPr>
        <xdr:cNvPr id="8" name="Rectangle: Rounded Corners 2">
          <a:extLst>
            <a:ext uri="{FF2B5EF4-FFF2-40B4-BE49-F238E27FC236}">
              <a16:creationId xmlns:a16="http://schemas.microsoft.com/office/drawing/2014/main" id="{D30F14F9-7D95-1CAB-6064-F1D045FDE0B9}"/>
            </a:ext>
            <a:ext uri="{147F2762-F138-4A5C-976F-8EAC2B608ADB}">
              <a16:predDERef xmlns:a16="http://schemas.microsoft.com/office/drawing/2014/main" pred="{567EFEC2-9AC4-276F-5A21-0E64DE25BB84}"/>
            </a:ext>
          </a:extLst>
        </xdr:cNvPr>
        <xdr:cNvSpPr/>
      </xdr:nvSpPr>
      <xdr:spPr>
        <a:xfrm>
          <a:off x="11163299" y="720105"/>
          <a:ext cx="1260000" cy="382304"/>
        </a:xfrm>
        <a:prstGeom prst="roundRect">
          <a:avLst/>
        </a:prstGeom>
        <a:solidFill>
          <a:sysClr val="window" lastClr="FFFFFF"/>
        </a:solidFill>
        <a:ln w="19050">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overflow" horzOverflow="overflow" wrap="square" rtlCol="0" anchor="ctr">
          <a:spAutoFit/>
        </a:bodyPr>
        <a:lstStyle/>
        <a:p>
          <a:pPr algn="ctr"/>
          <a:fld id="{F15F737B-1F05-40DE-B1B9-59CC8D704026}" type="TxLink">
            <a:rPr lang="en-US" sz="1400" b="1" i="0" u="none" strike="noStrike">
              <a:solidFill>
                <a:schemeClr val="accent2">
                  <a:lumMod val="75000"/>
                </a:schemeClr>
              </a:solidFill>
              <a:latin typeface="Arial Black" panose="020B0A04020102020204" pitchFamily="34" charset="0"/>
              <a:ea typeface="Calibri"/>
              <a:cs typeface="Calibri"/>
            </a:rPr>
            <a:pPr algn="ctr"/>
            <a:t>16</a:t>
          </a:fld>
          <a:endParaRPr lang="en-ID" sz="4400" b="1">
            <a:solidFill>
              <a:schemeClr val="accent2">
                <a:lumMod val="75000"/>
              </a:schemeClr>
            </a:solidFill>
            <a:latin typeface="Arial Black" panose="020B0A0402010202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159329</xdr:rowOff>
    </xdr:from>
    <xdr:to>
      <xdr:col>3</xdr:col>
      <xdr:colOff>207818</xdr:colOff>
      <xdr:row>31</xdr:row>
      <xdr:rowOff>20783</xdr:rowOff>
    </xdr:to>
    <xdr:graphicFrame macro="">
      <xdr:nvGraphicFramePr>
        <xdr:cNvPr id="2" name="Top 10 CPU">
          <a:extLst>
            <a:ext uri="{FF2B5EF4-FFF2-40B4-BE49-F238E27FC236}">
              <a16:creationId xmlns:a16="http://schemas.microsoft.com/office/drawing/2014/main" id="{7F85DFE4-D030-AE6E-5C19-0AE292486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727364</xdr:colOff>
      <xdr:row>16</xdr:row>
      <xdr:rowOff>20782</xdr:rowOff>
    </xdr:from>
    <xdr:to>
      <xdr:col>5</xdr:col>
      <xdr:colOff>1724891</xdr:colOff>
      <xdr:row>31</xdr:row>
      <xdr:rowOff>62345</xdr:rowOff>
    </xdr:to>
    <xdr:graphicFrame macro="">
      <xdr:nvGraphicFramePr>
        <xdr:cNvPr id="3" name="Perbandingan Core">
          <a:extLst>
            <a:ext uri="{FF2B5EF4-FFF2-40B4-BE49-F238E27FC236}">
              <a16:creationId xmlns:a16="http://schemas.microsoft.com/office/drawing/2014/main" id="{C949DCAD-973D-1471-75FC-49B97E1F7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491837</xdr:colOff>
      <xdr:row>15</xdr:row>
      <xdr:rowOff>103909</xdr:rowOff>
    </xdr:from>
    <xdr:to>
      <xdr:col>9</xdr:col>
      <xdr:colOff>561109</xdr:colOff>
      <xdr:row>30</xdr:row>
      <xdr:rowOff>145472</xdr:rowOff>
    </xdr:to>
    <xdr:graphicFrame macro="">
      <xdr:nvGraphicFramePr>
        <xdr:cNvPr id="4" name="Evolusi Kinerja">
          <a:extLst>
            <a:ext uri="{FF2B5EF4-FFF2-40B4-BE49-F238E27FC236}">
              <a16:creationId xmlns:a16="http://schemas.microsoft.com/office/drawing/2014/main" id="{822C4D68-3660-AFD6-5853-80031B180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1323109</xdr:colOff>
      <xdr:row>15</xdr:row>
      <xdr:rowOff>145473</xdr:rowOff>
    </xdr:from>
    <xdr:to>
      <xdr:col>14</xdr:col>
      <xdr:colOff>103909</xdr:colOff>
      <xdr:row>31</xdr:row>
      <xdr:rowOff>6927</xdr:rowOff>
    </xdr:to>
    <xdr:graphicFrame macro="">
      <xdr:nvGraphicFramePr>
        <xdr:cNvPr id="5" name="Market Share">
          <a:extLst>
            <a:ext uri="{FF2B5EF4-FFF2-40B4-BE49-F238E27FC236}">
              <a16:creationId xmlns:a16="http://schemas.microsoft.com/office/drawing/2014/main" id="{2098BB2F-BD6D-6A0A-A79C-3D7EA4DBE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Roger Nathanael" refreshedDate="46171.661788888887" backgroundQuery="1" createdVersion="8" refreshedVersion="8" minRefreshableVersion="3" recordCount="0" supportSubquery="1" supportAdvancedDrill="1" xr:uid="{F392D442-27B6-4694-BE8D-45E92526A4F6}">
  <cacheSource type="external" connectionId="4"/>
  <cacheFields count="2">
    <cacheField name="[Data_CPU].[CPU_Clean].[CPU_Clean]" caption="CPU_Clean" numFmtId="0" hierarchy="21" level="1">
      <sharedItems count="10">
        <s v="A14 Bionic"/>
        <s v="A15 Bionic"/>
        <s v="Dimensity 8100"/>
        <s v="Dimensity 9000"/>
        <s v="Exynos 2100"/>
        <s v="Kirin 9000"/>
        <s v="Kirin 9000E"/>
        <s v="Snapdragon 8 Gen 1"/>
        <s v="Snapdragon 888"/>
        <s v="Snapdragon 888 Plus"/>
      </sharedItems>
    </cacheField>
    <cacheField name="[Measures].[Average of geekbenchMulti]" caption="Average of geekbenchMulti" numFmtId="0" hierarchy="39" level="32767"/>
  </cacheFields>
  <cacheHierarchies count="49">
    <cacheHierarchy uniqueName="[Data_AnTuTu].[Device]" caption="Device" attribute="1" defaultMemberUniqueName="[Data_AnTuTu].[Device].[All]" allUniqueName="[Data_AnTuTu].[Device].[All]" dimensionUniqueName="[Data_AnTuTu]" displayFolder="" count="0" memberValueDatatype="130" unbalanced="0"/>
    <cacheHierarchy uniqueName="[Data_AnTuTu].[brand]" caption="brand" attribute="1" defaultMemberUniqueName="[Data_AnTuTu].[brand].[All]" allUniqueName="[Data_AnTuTu].[brand].[All]" dimensionUniqueName="[Data_AnTuTu]" displayFolder="" count="0" memberValueDatatype="130" unbalanced="0"/>
    <cacheHierarchy uniqueName="[Data_AnTuTu].[CPU]" caption="CPU" attribute="1" defaultMemberUniqueName="[Data_AnTuTu].[CPU].[All]" allUniqueName="[Data_AnTuTu].[CPU].[All]" dimensionUniqueName="[Data_AnTuTu]" displayFolder="" count="0" memberValueDatatype="20" unbalanced="0"/>
    <cacheHierarchy uniqueName="[Data_AnTuTu].[GPU]" caption="GPU" attribute="1" defaultMemberUniqueName="[Data_AnTuTu].[GPU].[All]" allUniqueName="[Data_AnTuTu].[GPU].[All]" dimensionUniqueName="[Data_AnTuTu]" displayFolder="" count="0" memberValueDatatype="20" unbalanced="0"/>
    <cacheHierarchy uniqueName="[Data_AnTuTu].[MEM]" caption="MEM" attribute="1" defaultMemberUniqueName="[Data_AnTuTu].[MEM].[All]" allUniqueName="[Data_AnTuTu].[MEM].[All]" dimensionUniqueName="[Data_AnTuTu]" displayFolder="" count="0" memberValueDatatype="20" unbalanced="0"/>
    <cacheHierarchy uniqueName="[Data_AnTuTu].[UX]" caption="UX" attribute="1" defaultMemberUniqueName="[Data_AnTuTu].[UX].[All]" allUniqueName="[Data_AnTuTu].[UX].[All]" dimensionUniqueName="[Data_AnTuTu]" displayFolder="" count="0" memberValueDatatype="20" unbalanced="0"/>
    <cacheHierarchy uniqueName="[Data_AnTuTu].[Total Score]" caption="Total Score" attribute="1" defaultMemberUniqueName="[Data_AnTuTu].[Total Score].[All]" allUniqueName="[Data_AnTuTu].[Total Score].[All]" dimensionUniqueName="[Data_AnTuTu]" displayFolder="" count="0" memberValueDatatype="20" unbalanced="0"/>
    <cacheHierarchy uniqueName="[Data_AnTuTu].[Device_Clean]" caption="Device_Clean" attribute="1" defaultMemberUniqueName="[Data_AnTuTu].[Device_Clean].[All]" allUniqueName="[Data_AnTuTu].[Device_Clean].[All]" dimensionUniqueName="[Data_AnTuTu]" displayFolder="" count="0" memberValueDatatype="130" unbalanced="0"/>
    <cacheHierarchy uniqueName="[Data_AnTuTu].[CPU_Name_Bridge]" caption="CPU_Name_Bridge" attribute="1" defaultMemberUniqueName="[Data_AnTuTu].[CPU_Name_Bridge].[All]" allUniqueName="[Data_AnTuTu].[CPU_Name_Bridge].[All]" dimensionUniqueName="[Data_AnTuTu]" displayFolder="" count="0" memberValueDatatype="130" unbalanced="0"/>
    <cacheHierarchy uniqueName="[Data_AnTuTu].[Core_Count_Lookup]" caption="Core_Count_Lookup" attribute="1" defaultMemberUniqueName="[Data_AnTuTu].[Core_Count_Lookup].[All]" allUniqueName="[Data_AnTuTu].[Core_Count_Lookup].[All]" dimensionUniqueName="[Data_AnTuTu]" displayFolder="" count="0" memberValueDatatype="130" unbalanced="0"/>
    <cacheHierarchy uniqueName="[Data_CPU].[rank]" caption="rank" attribute="1" defaultMemberUniqueName="[Data_CPU].[rank].[All]" allUniqueName="[Data_CPU].[rank].[All]" dimensionUniqueName="[Data_CPU]" displayFolder="" count="0" memberValueDatatype="20" unbalanced="0"/>
    <cacheHierarchy uniqueName="[Data_CPU].[company]" caption="company" attribute="1" defaultMemberUniqueName="[Data_CPU].[company].[All]" allUniqueName="[Data_CPU].[company].[All]" dimensionUniqueName="[Data_CPU]" displayFolder="" count="0" memberValueDatatype="130" unbalanced="0"/>
    <cacheHierarchy uniqueName="[Data_CPU].[cpuName]" caption="cpuName" attribute="1" defaultMemberUniqueName="[Data_CPU].[cpuName].[All]" allUniqueName="[Data_CPU].[cpuName].[All]" dimensionUniqueName="[Data_CPU]" displayFolder="" count="0" memberValueDatatype="130" unbalanced="0"/>
    <cacheHierarchy uniqueName="[Data_CPU].[geekbenchSingle]" caption="geekbenchSingle" attribute="1" defaultMemberUniqueName="[Data_CPU].[geekbenchSingle].[All]" allUniqueName="[Data_CPU].[geekbenchSingle].[All]" dimensionUniqueName="[Data_CPU]" displayFolder="" count="0" memberValueDatatype="20" unbalanced="0"/>
    <cacheHierarchy uniqueName="[Data_CPU].[geekbenchMulti]" caption="geekbenchMulti" attribute="1" defaultMemberUniqueName="[Data_CPU].[geekbenchMulti].[All]" allUniqueName="[Data_CPU].[geekbenchMulti].[All]" dimensionUniqueName="[Data_CPU]" displayFolder="" count="0" memberValueDatatype="20" unbalanced="0"/>
    <cacheHierarchy uniqueName="[Data_CPU].[antutu9]" caption="antutu9" attribute="1" defaultMemberUniqueName="[Data_CPU].[antutu9].[All]" allUniqueName="[Data_CPU].[antutu9].[All]" dimensionUniqueName="[Data_CPU]" displayFolder="" count="0" memberValueDatatype="20" unbalanced="0"/>
    <cacheHierarchy uniqueName="[Data_CPU].[coreCount]" caption="coreCount" attribute="1" defaultMemberUniqueName="[Data_CPU].[coreCount].[All]" allUniqueName="[Data_CPU].[coreCount].[All]" dimensionUniqueName="[Data_CPU]" displayFolder="" count="0" memberValueDatatype="20" unbalanced="0"/>
    <cacheHierarchy uniqueName="[Data_CPU].[coreConfig]" caption="coreConfig" attribute="1" defaultMemberUniqueName="[Data_CPU].[coreConfig].[All]" allUniqueName="[Data_CPU].[coreConfig].[All]" dimensionUniqueName="[Data_CPU]" displayFolder="" count="0" memberValueDatatype="130" unbalanced="0"/>
    <cacheHierarchy uniqueName="[Data_CPU].[clockSpeed]" caption="clockSpeed" attribute="1" defaultMemberUniqueName="[Data_CPU].[clockSpeed].[All]" allUniqueName="[Data_CPU].[clockSpeed].[All]" dimensionUniqueName="[Data_CPU]" displayFolder="" count="0" memberValueDatatype="20" unbalanced="0"/>
    <cacheHierarchy uniqueName="[Data_CPU].[gpu]" caption="gpu" attribute="1" defaultMemberUniqueName="[Data_CPU].[gpu].[All]" allUniqueName="[Data_CPU].[gpu].[All]" dimensionUniqueName="[Data_CPU]" displayFolder="" count="0" memberValueDatatype="130" unbalanced="0"/>
    <cacheHierarchy uniqueName="[Data_CPU].[release_date]" caption="release_date" attribute="1" time="1" defaultMemberUniqueName="[Data_CPU].[release_date].[All]" allUniqueName="[Data_CPU].[release_date].[All]" dimensionUniqueName="[Data_CPU]" displayFolder="" count="0" memberValueDatatype="7" unbalanced="0"/>
    <cacheHierarchy uniqueName="[Data_CPU].[CPU_Clean]" caption="CPU_Clean" attribute="1" defaultMemberUniqueName="[Data_CPU].[CPU_Clean].[All]" allUniqueName="[Data_CPU].[CPU_Clean].[All]" dimensionUniqueName="[Data_CPU]" displayFolder="" count="2" memberValueDatatype="130" unbalanced="0">
      <fieldsUsage count="2">
        <fieldUsage x="-1"/>
        <fieldUsage x="0"/>
      </fieldsUsage>
    </cacheHierarchy>
    <cacheHierarchy uniqueName="[Data_CPU].[release_year]" caption="release_year" attribute="1" defaultMemberUniqueName="[Data_CPU].[release_year].[All]" allUniqueName="[Data_CPU].[release_year].[All]" dimensionUniqueName="[Data_CPU]" displayFolder="" count="0" memberValueDatatype="20" unbalanced="0"/>
    <cacheHierarchy uniqueName="[Data_CPU].[PerformanceTier]" caption="PerformanceTier" attribute="1" defaultMemberUniqueName="[Data_CPU].[PerformanceTier].[All]" allUniqueName="[Data_CPU].[PerformanceTier].[All]" dimensionUniqueName="[Data_CPU]" displayFolder="" count="0" memberValueDatatype="130" unbalanced="0"/>
    <cacheHierarchy uniqueName="[Data_CPU].[ScorePerGHz]" caption="ScorePerGHz" attribute="1" defaultMemberUniqueName="[Data_CPU].[ScorePerGHz].[All]" allUniqueName="[Data_CPU].[ScorePerGHz].[All]" dimensionUniqueName="[Data_CPU]" displayFolder="" count="0" memberValueDatatype="20" unbalanced="0"/>
    <cacheHierarchy uniqueName="[Data_CPU].[ClockCategory]" caption="ClockCategory" attribute="1" defaultMemberUniqueName="[Data_CPU].[ClockCategory].[All]" allUniqueName="[Data_CPU].[ClockCategory].[All]" dimensionUniqueName="[Data_CPU]" displayFolder="" count="0" memberValueDatatype="130" unbalanced="0"/>
    <cacheHierarchy uniqueName="[Data_CPU].[AnTuTuTier]" caption="AnTuTuTier" attribute="1" defaultMemberUniqueName="[Data_CPU].[AnTuTuTier].[All]" allUniqueName="[Data_CPU].[AnTuTuTier].[All]" dimensionUniqueName="[Data_CPU]" displayFolder="" count="0" memberValueDatatype="130" unbalanced="0"/>
    <cacheHierarchy uniqueName="[Data_ML].[device]" caption="device" attribute="1" defaultMemberUniqueName="[Data_ML].[device].[All]" allUniqueName="[Data_ML].[device].[All]" dimensionUniqueName="[Data_ML]" displayFolder="" count="0" memberValueDatatype="130" unbalanced="0"/>
    <cacheHierarchy uniqueName="[Data_ML].[company]" caption="company" attribute="1" defaultMemberUniqueName="[Data_ML].[company].[All]" allUniqueName="[Data_ML].[company].[All]" dimensionUniqueName="[Data_ML]" displayFolder="" count="0" memberValueDatatype="130" unbalanced="0"/>
    <cacheHierarchy uniqueName="[Data_ML].[cpuName]" caption="cpuName" attribute="1" defaultMemberUniqueName="[Data_ML].[cpuName].[All]" allUniqueName="[Data_ML].[cpuName].[All]" dimensionUniqueName="[Data_ML]" displayFolder="" count="0" memberValueDatatype="130" unbalanced="0"/>
    <cacheHierarchy uniqueName="[Data_ML].[cores]" caption="cores" attribute="1" defaultMemberUniqueName="[Data_ML].[cores].[All]" allUniqueName="[Data_ML].[cores].[All]" dimensionUniqueName="[Data_ML]" displayFolder="" count="0" memberValueDatatype="20" unbalanced="0"/>
    <cacheHierarchy uniqueName="[Data_ML].[clock]" caption="clock" attribute="1" defaultMemberUniqueName="[Data_ML].[clock].[All]" allUniqueName="[Data_ML].[clock].[All]" dimensionUniqueName="[Data_ML]" displayFolder="" count="0" memberValueDatatype="20" unbalanced="0"/>
    <cacheHierarchy uniqueName="[Data_ML].[cpuScore]" caption="cpuScore" attribute="1" defaultMemberUniqueName="[Data_ML].[cpuScore].[All]" allUniqueName="[Data_ML].[cpuScore].[All]" dimensionUniqueName="[Data_ML]" displayFolder="" count="0" memberValueDatatype="20" unbalanced="0"/>
    <cacheHierarchy uniqueName="[Data_ML].[gpuScore]" caption="gpuScore" attribute="1" defaultMemberUniqueName="[Data_ML].[gpuScore].[All]" allUniqueName="[Data_ML].[gpuScore].[All]" dimensionUniqueName="[Data_ML]" displayFolder="" count="0" memberValueDatatype="20" unbalanced="0"/>
    <cacheHierarchy uniqueName="[Data_ML].[npuScore]" caption="npuScore" attribute="1" defaultMemberUniqueName="[Data_ML].[npuScore].[All]" allUniqueName="[Data_ML].[npuScore].[All]" dimensionUniqueName="[Data_ML]" displayFolder="" count="0" memberValueDatatype="20" unbalanced="0"/>
    <cacheHierarchy uniqueName="[Data_ML].[release_date]" caption="release_date" attribute="1" time="1" defaultMemberUniqueName="[Data_ML].[release_date].[All]" allUniqueName="[Data_ML].[release_date].[All]" dimensionUniqueName="[Data_ML]" displayFolder="" count="0" memberValueDatatype="7" unbalanced="0"/>
    <cacheHierarchy uniqueName="[Data_ML].[CPU_Clean]" caption="CPU_Clean" attribute="1" defaultMemberUniqueName="[Data_ML].[CPU_Clean].[All]" allUniqueName="[Data_ML].[CPU_Clean].[All]" dimensionUniqueName="[Data_ML]" displayFolder="" count="0" memberValueDatatype="130" unbalanced="0"/>
    <cacheHierarchy uniqueName="[Data_ML].[release_year]" caption="release_year" attribute="1" defaultMemberUniqueName="[Data_ML].[release_year].[All]" allUniqueName="[Data_ML].[release_year].[All]" dimensionUniqueName="[Data_ML]" displayFolder="" count="0" memberValueDatatype="20" unbalanced="0"/>
    <cacheHierarchy uniqueName="[Measures].[Sum of geekbenchMulti]" caption="Sum of geekbenchMulti" measure="1" displayFolder="" measureGroup="Data_CPU" count="0">
      <extLst>
        <ext xmlns:x15="http://schemas.microsoft.com/office/spreadsheetml/2010/11/main" uri="{B97F6D7D-B522-45F9-BDA1-12C45D357490}">
          <x15:cacheHierarchy aggregatedColumn="14"/>
        </ext>
      </extLst>
    </cacheHierarchy>
    <cacheHierarchy uniqueName="[Measures].[Average of geekbenchMulti]" caption="Average of geekbenchMulti" measure="1" displayFolder="" measureGroup="Data_CPU" count="0" oneField="1">
      <fieldsUsage count="1">
        <fieldUsage x="1"/>
      </fieldsUsage>
      <extLst>
        <ext xmlns:x15="http://schemas.microsoft.com/office/spreadsheetml/2010/11/main" uri="{B97F6D7D-B522-45F9-BDA1-12C45D357490}">
          <x15:cacheHierarchy aggregatedColumn="14"/>
        </ext>
      </extLst>
    </cacheHierarchy>
    <cacheHierarchy uniqueName="[Measures].[Sum of geekbenchSingle]" caption="Sum of geekbenchSingle" measure="1" displayFolder="" measureGroup="Data_CPU" count="0">
      <extLst>
        <ext xmlns:x15="http://schemas.microsoft.com/office/spreadsheetml/2010/11/main" uri="{B97F6D7D-B522-45F9-BDA1-12C45D357490}">
          <x15:cacheHierarchy aggregatedColumn="13"/>
        </ext>
      </extLst>
    </cacheHierarchy>
    <cacheHierarchy uniqueName="[Measures].[Count of CPU_Clean]" caption="Count of CPU_Clean" measure="1" displayFolder="" measureGroup="Data_CPU" count="0">
      <extLst>
        <ext xmlns:x15="http://schemas.microsoft.com/office/spreadsheetml/2010/11/main" uri="{B97F6D7D-B522-45F9-BDA1-12C45D357490}">
          <x15:cacheHierarchy aggregatedColumn="21"/>
        </ext>
      </extLst>
    </cacheHierarchy>
    <cacheHierarchy uniqueName="[Measures].[Avg_GeekbenchMulti]" caption="Avg_GeekbenchMulti" measure="1" displayFolder="" measureGroup="Data_CPU" count="0"/>
    <cacheHierarchy uniqueName="[Measures].[Avg_AnTuTuScore]" caption="Avg_AnTuTuScore" measure="1" displayFolder="" measureGroup="Data_AnTuTu" count="0"/>
    <cacheHierarchy uniqueName="[Measures].[Avg_CPUAnTuTu]" caption="Avg_CPUAnTuTu" measure="1" displayFolder="" measureGroup="Data_CPU" count="0"/>
    <cacheHierarchy uniqueName="[Measures].[__XL_Count Data_CPU]" caption="__XL_Count Data_CPU" measure="1" displayFolder="" measureGroup="Data_CPU" count="0" hidden="1"/>
    <cacheHierarchy uniqueName="[Measures].[__XL_Count Data_ML]" caption="__XL_Count Data_ML" measure="1" displayFolder="" measureGroup="Data_ML" count="0" hidden="1"/>
    <cacheHierarchy uniqueName="[Measures].[__XL_Count Data_AnTuTu]" caption="__XL_Count Data_AnTuTu" measure="1" displayFolder="" measureGroup="Data_AnTuTu" count="0" hidden="1"/>
    <cacheHierarchy uniqueName="[Measures].[__No measures defined]" caption="__No measures defined" measure="1" displayFolder="" count="0" hidden="1"/>
  </cacheHierarchies>
  <kpis count="0"/>
  <dimensions count="4">
    <dimension name="Data_AnTuTu" uniqueName="[Data_AnTuTu]" caption="Data_AnTuTu"/>
    <dimension name="Data_CPU" uniqueName="[Data_CPU]" caption="Data_CPU"/>
    <dimension name="Data_ML" uniqueName="[Data_ML]" caption="Data_ML"/>
    <dimension measure="1" name="Measures" uniqueName="[Measures]" caption="Measures"/>
  </dimensions>
  <measureGroups count="3">
    <measureGroup name="Data_AnTuTu" caption="Data_AnTuTu"/>
    <measureGroup name="Data_CPU" caption="Data_CPU"/>
    <measureGroup name="Data_ML" caption="Data_ML"/>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Roger Nathanael" refreshedDate="46171.661789930557" backgroundQuery="1" createdVersion="8" refreshedVersion="8" minRefreshableVersion="3" recordCount="0" supportSubquery="1" supportAdvancedDrill="1" xr:uid="{DAE60423-D60F-4637-8ECB-C7983DB6C5C2}">
  <cacheSource type="external" connectionId="4"/>
  <cacheFields count="3">
    <cacheField name="[Data_CPU].[CPU_Clean].[CPU_Clean]" caption="CPU_Clean" numFmtId="0" hierarchy="21" level="1">
      <sharedItems count="10">
        <s v="A14 Bionic"/>
        <s v="A15 Bionic"/>
        <s v="Dimensity 8100"/>
        <s v="Dimensity 9000"/>
        <s v="Exynos 2100"/>
        <s v="Kirin 9000"/>
        <s v="Kirin 9000E"/>
        <s v="Snapdragon 8 Gen 1"/>
        <s v="Snapdragon 888"/>
        <s v="Snapdragon 888 Plus"/>
      </sharedItems>
    </cacheField>
    <cacheField name="[Measures].[Sum of geekbenchSingle]" caption="Sum of geekbenchSingle" numFmtId="0" hierarchy="40" level="32767"/>
    <cacheField name="[Measures].[Sum of geekbenchMulti]" caption="Sum of geekbenchMulti" numFmtId="0" hierarchy="38" level="32767"/>
  </cacheFields>
  <cacheHierarchies count="49">
    <cacheHierarchy uniqueName="[Data_AnTuTu].[Device]" caption="Device" attribute="1" defaultMemberUniqueName="[Data_AnTuTu].[Device].[All]" allUniqueName="[Data_AnTuTu].[Device].[All]" dimensionUniqueName="[Data_AnTuTu]" displayFolder="" count="0" memberValueDatatype="130" unbalanced="0"/>
    <cacheHierarchy uniqueName="[Data_AnTuTu].[brand]" caption="brand" attribute="1" defaultMemberUniqueName="[Data_AnTuTu].[brand].[All]" allUniqueName="[Data_AnTuTu].[brand].[All]" dimensionUniqueName="[Data_AnTuTu]" displayFolder="" count="0" memberValueDatatype="130" unbalanced="0"/>
    <cacheHierarchy uniqueName="[Data_AnTuTu].[CPU]" caption="CPU" attribute="1" defaultMemberUniqueName="[Data_AnTuTu].[CPU].[All]" allUniqueName="[Data_AnTuTu].[CPU].[All]" dimensionUniqueName="[Data_AnTuTu]" displayFolder="" count="0" memberValueDatatype="20" unbalanced="0"/>
    <cacheHierarchy uniqueName="[Data_AnTuTu].[GPU]" caption="GPU" attribute="1" defaultMemberUniqueName="[Data_AnTuTu].[GPU].[All]" allUniqueName="[Data_AnTuTu].[GPU].[All]" dimensionUniqueName="[Data_AnTuTu]" displayFolder="" count="0" memberValueDatatype="20" unbalanced="0"/>
    <cacheHierarchy uniqueName="[Data_AnTuTu].[MEM]" caption="MEM" attribute="1" defaultMemberUniqueName="[Data_AnTuTu].[MEM].[All]" allUniqueName="[Data_AnTuTu].[MEM].[All]" dimensionUniqueName="[Data_AnTuTu]" displayFolder="" count="0" memberValueDatatype="20" unbalanced="0"/>
    <cacheHierarchy uniqueName="[Data_AnTuTu].[UX]" caption="UX" attribute="1" defaultMemberUniqueName="[Data_AnTuTu].[UX].[All]" allUniqueName="[Data_AnTuTu].[UX].[All]" dimensionUniqueName="[Data_AnTuTu]" displayFolder="" count="0" memberValueDatatype="20" unbalanced="0"/>
    <cacheHierarchy uniqueName="[Data_AnTuTu].[Total Score]" caption="Total Score" attribute="1" defaultMemberUniqueName="[Data_AnTuTu].[Total Score].[All]" allUniqueName="[Data_AnTuTu].[Total Score].[All]" dimensionUniqueName="[Data_AnTuTu]" displayFolder="" count="0" memberValueDatatype="20" unbalanced="0"/>
    <cacheHierarchy uniqueName="[Data_AnTuTu].[Device_Clean]" caption="Device_Clean" attribute="1" defaultMemberUniqueName="[Data_AnTuTu].[Device_Clean].[All]" allUniqueName="[Data_AnTuTu].[Device_Clean].[All]" dimensionUniqueName="[Data_AnTuTu]" displayFolder="" count="0" memberValueDatatype="130" unbalanced="0"/>
    <cacheHierarchy uniqueName="[Data_AnTuTu].[CPU_Name_Bridge]" caption="CPU_Name_Bridge" attribute="1" defaultMemberUniqueName="[Data_AnTuTu].[CPU_Name_Bridge].[All]" allUniqueName="[Data_AnTuTu].[CPU_Name_Bridge].[All]" dimensionUniqueName="[Data_AnTuTu]" displayFolder="" count="0" memberValueDatatype="130" unbalanced="0"/>
    <cacheHierarchy uniqueName="[Data_AnTuTu].[Core_Count_Lookup]" caption="Core_Count_Lookup" attribute="1" defaultMemberUniqueName="[Data_AnTuTu].[Core_Count_Lookup].[All]" allUniqueName="[Data_AnTuTu].[Core_Count_Lookup].[All]" dimensionUniqueName="[Data_AnTuTu]" displayFolder="" count="0" memberValueDatatype="130" unbalanced="0"/>
    <cacheHierarchy uniqueName="[Data_CPU].[rank]" caption="rank" attribute="1" defaultMemberUniqueName="[Data_CPU].[rank].[All]" allUniqueName="[Data_CPU].[rank].[All]" dimensionUniqueName="[Data_CPU]" displayFolder="" count="0" memberValueDatatype="20" unbalanced="0"/>
    <cacheHierarchy uniqueName="[Data_CPU].[company]" caption="company" attribute="1" defaultMemberUniqueName="[Data_CPU].[company].[All]" allUniqueName="[Data_CPU].[company].[All]" dimensionUniqueName="[Data_CPU]" displayFolder="" count="0" memberValueDatatype="130" unbalanced="0"/>
    <cacheHierarchy uniqueName="[Data_CPU].[cpuName]" caption="cpuName" attribute="1" defaultMemberUniqueName="[Data_CPU].[cpuName].[All]" allUniqueName="[Data_CPU].[cpuName].[All]" dimensionUniqueName="[Data_CPU]" displayFolder="" count="0" memberValueDatatype="130" unbalanced="0"/>
    <cacheHierarchy uniqueName="[Data_CPU].[geekbenchSingle]" caption="geekbenchSingle" attribute="1" defaultMemberUniqueName="[Data_CPU].[geekbenchSingle].[All]" allUniqueName="[Data_CPU].[geekbenchSingle].[All]" dimensionUniqueName="[Data_CPU]" displayFolder="" count="0" memberValueDatatype="20" unbalanced="0"/>
    <cacheHierarchy uniqueName="[Data_CPU].[geekbenchMulti]" caption="geekbenchMulti" attribute="1" defaultMemberUniqueName="[Data_CPU].[geekbenchMulti].[All]" allUniqueName="[Data_CPU].[geekbenchMulti].[All]" dimensionUniqueName="[Data_CPU]" displayFolder="" count="0" memberValueDatatype="20" unbalanced="0"/>
    <cacheHierarchy uniqueName="[Data_CPU].[antutu9]" caption="antutu9" attribute="1" defaultMemberUniqueName="[Data_CPU].[antutu9].[All]" allUniqueName="[Data_CPU].[antutu9].[All]" dimensionUniqueName="[Data_CPU]" displayFolder="" count="0" memberValueDatatype="20" unbalanced="0"/>
    <cacheHierarchy uniqueName="[Data_CPU].[coreCount]" caption="coreCount" attribute="1" defaultMemberUniqueName="[Data_CPU].[coreCount].[All]" allUniqueName="[Data_CPU].[coreCount].[All]" dimensionUniqueName="[Data_CPU]" displayFolder="" count="0" memberValueDatatype="20" unbalanced="0"/>
    <cacheHierarchy uniqueName="[Data_CPU].[coreConfig]" caption="coreConfig" attribute="1" defaultMemberUniqueName="[Data_CPU].[coreConfig].[All]" allUniqueName="[Data_CPU].[coreConfig].[All]" dimensionUniqueName="[Data_CPU]" displayFolder="" count="0" memberValueDatatype="130" unbalanced="0"/>
    <cacheHierarchy uniqueName="[Data_CPU].[clockSpeed]" caption="clockSpeed" attribute="1" defaultMemberUniqueName="[Data_CPU].[clockSpeed].[All]" allUniqueName="[Data_CPU].[clockSpeed].[All]" dimensionUniqueName="[Data_CPU]" displayFolder="" count="0" memberValueDatatype="20" unbalanced="0"/>
    <cacheHierarchy uniqueName="[Data_CPU].[gpu]" caption="gpu" attribute="1" defaultMemberUniqueName="[Data_CPU].[gpu].[All]" allUniqueName="[Data_CPU].[gpu].[All]" dimensionUniqueName="[Data_CPU]" displayFolder="" count="0" memberValueDatatype="130" unbalanced="0"/>
    <cacheHierarchy uniqueName="[Data_CPU].[release_date]" caption="release_date" attribute="1" time="1" defaultMemberUniqueName="[Data_CPU].[release_date].[All]" allUniqueName="[Data_CPU].[release_date].[All]" dimensionUniqueName="[Data_CPU]" displayFolder="" count="0" memberValueDatatype="7" unbalanced="0"/>
    <cacheHierarchy uniqueName="[Data_CPU].[CPU_Clean]" caption="CPU_Clean" attribute="1" defaultMemberUniqueName="[Data_CPU].[CPU_Clean].[All]" allUniqueName="[Data_CPU].[CPU_Clean].[All]" dimensionUniqueName="[Data_CPU]" displayFolder="" count="2" memberValueDatatype="130" unbalanced="0">
      <fieldsUsage count="2">
        <fieldUsage x="-1"/>
        <fieldUsage x="0"/>
      </fieldsUsage>
    </cacheHierarchy>
    <cacheHierarchy uniqueName="[Data_CPU].[release_year]" caption="release_year" attribute="1" defaultMemberUniqueName="[Data_CPU].[release_year].[All]" allUniqueName="[Data_CPU].[release_year].[All]" dimensionUniqueName="[Data_CPU]" displayFolder="" count="0" memberValueDatatype="20" unbalanced="0"/>
    <cacheHierarchy uniqueName="[Data_CPU].[PerformanceTier]" caption="PerformanceTier" attribute="1" defaultMemberUniqueName="[Data_CPU].[PerformanceTier].[All]" allUniqueName="[Data_CPU].[PerformanceTier].[All]" dimensionUniqueName="[Data_CPU]" displayFolder="" count="0" memberValueDatatype="130" unbalanced="0"/>
    <cacheHierarchy uniqueName="[Data_CPU].[ScorePerGHz]" caption="ScorePerGHz" attribute="1" defaultMemberUniqueName="[Data_CPU].[ScorePerGHz].[All]" allUniqueName="[Data_CPU].[ScorePerGHz].[All]" dimensionUniqueName="[Data_CPU]" displayFolder="" count="0" memberValueDatatype="20" unbalanced="0"/>
    <cacheHierarchy uniqueName="[Data_CPU].[ClockCategory]" caption="ClockCategory" attribute="1" defaultMemberUniqueName="[Data_CPU].[ClockCategory].[All]" allUniqueName="[Data_CPU].[ClockCategory].[All]" dimensionUniqueName="[Data_CPU]" displayFolder="" count="0" memberValueDatatype="130" unbalanced="0"/>
    <cacheHierarchy uniqueName="[Data_CPU].[AnTuTuTier]" caption="AnTuTuTier" attribute="1" defaultMemberUniqueName="[Data_CPU].[AnTuTuTier].[All]" allUniqueName="[Data_CPU].[AnTuTuTier].[All]" dimensionUniqueName="[Data_CPU]" displayFolder="" count="0" memberValueDatatype="130" unbalanced="0"/>
    <cacheHierarchy uniqueName="[Data_ML].[device]" caption="device" attribute="1" defaultMemberUniqueName="[Data_ML].[device].[All]" allUniqueName="[Data_ML].[device].[All]" dimensionUniqueName="[Data_ML]" displayFolder="" count="0" memberValueDatatype="130" unbalanced="0"/>
    <cacheHierarchy uniqueName="[Data_ML].[company]" caption="company" attribute="1" defaultMemberUniqueName="[Data_ML].[company].[All]" allUniqueName="[Data_ML].[company].[All]" dimensionUniqueName="[Data_ML]" displayFolder="" count="0" memberValueDatatype="130" unbalanced="0"/>
    <cacheHierarchy uniqueName="[Data_ML].[cpuName]" caption="cpuName" attribute="1" defaultMemberUniqueName="[Data_ML].[cpuName].[All]" allUniqueName="[Data_ML].[cpuName].[All]" dimensionUniqueName="[Data_ML]" displayFolder="" count="0" memberValueDatatype="130" unbalanced="0"/>
    <cacheHierarchy uniqueName="[Data_ML].[cores]" caption="cores" attribute="1" defaultMemberUniqueName="[Data_ML].[cores].[All]" allUniqueName="[Data_ML].[cores].[All]" dimensionUniqueName="[Data_ML]" displayFolder="" count="0" memberValueDatatype="20" unbalanced="0"/>
    <cacheHierarchy uniqueName="[Data_ML].[clock]" caption="clock" attribute="1" defaultMemberUniqueName="[Data_ML].[clock].[All]" allUniqueName="[Data_ML].[clock].[All]" dimensionUniqueName="[Data_ML]" displayFolder="" count="0" memberValueDatatype="20" unbalanced="0"/>
    <cacheHierarchy uniqueName="[Data_ML].[cpuScore]" caption="cpuScore" attribute="1" defaultMemberUniqueName="[Data_ML].[cpuScore].[All]" allUniqueName="[Data_ML].[cpuScore].[All]" dimensionUniqueName="[Data_ML]" displayFolder="" count="0" memberValueDatatype="20" unbalanced="0"/>
    <cacheHierarchy uniqueName="[Data_ML].[gpuScore]" caption="gpuScore" attribute="1" defaultMemberUniqueName="[Data_ML].[gpuScore].[All]" allUniqueName="[Data_ML].[gpuScore].[All]" dimensionUniqueName="[Data_ML]" displayFolder="" count="0" memberValueDatatype="20" unbalanced="0"/>
    <cacheHierarchy uniqueName="[Data_ML].[npuScore]" caption="npuScore" attribute="1" defaultMemberUniqueName="[Data_ML].[npuScore].[All]" allUniqueName="[Data_ML].[npuScore].[All]" dimensionUniqueName="[Data_ML]" displayFolder="" count="0" memberValueDatatype="20" unbalanced="0"/>
    <cacheHierarchy uniqueName="[Data_ML].[release_date]" caption="release_date" attribute="1" time="1" defaultMemberUniqueName="[Data_ML].[release_date].[All]" allUniqueName="[Data_ML].[release_date].[All]" dimensionUniqueName="[Data_ML]" displayFolder="" count="0" memberValueDatatype="7" unbalanced="0"/>
    <cacheHierarchy uniqueName="[Data_ML].[CPU_Clean]" caption="CPU_Clean" attribute="1" defaultMemberUniqueName="[Data_ML].[CPU_Clean].[All]" allUniqueName="[Data_ML].[CPU_Clean].[All]" dimensionUniqueName="[Data_ML]" displayFolder="" count="0" memberValueDatatype="130" unbalanced="0"/>
    <cacheHierarchy uniqueName="[Data_ML].[release_year]" caption="release_year" attribute="1" defaultMemberUniqueName="[Data_ML].[release_year].[All]" allUniqueName="[Data_ML].[release_year].[All]" dimensionUniqueName="[Data_ML]" displayFolder="" count="0" memberValueDatatype="20" unbalanced="0"/>
    <cacheHierarchy uniqueName="[Measures].[Sum of geekbenchMulti]" caption="Sum of geekbenchMulti" measure="1" displayFolder="" measureGroup="Data_CPU" count="0" oneField="1">
      <fieldsUsage count="1">
        <fieldUsage x="2"/>
      </fieldsUsage>
      <extLst>
        <ext xmlns:x15="http://schemas.microsoft.com/office/spreadsheetml/2010/11/main" uri="{B97F6D7D-B522-45F9-BDA1-12C45D357490}">
          <x15:cacheHierarchy aggregatedColumn="14"/>
        </ext>
      </extLst>
    </cacheHierarchy>
    <cacheHierarchy uniqueName="[Measures].[Average of geekbenchMulti]" caption="Average of geekbenchMulti" measure="1" displayFolder="" measureGroup="Data_CPU" count="0">
      <extLst>
        <ext xmlns:x15="http://schemas.microsoft.com/office/spreadsheetml/2010/11/main" uri="{B97F6D7D-B522-45F9-BDA1-12C45D357490}">
          <x15:cacheHierarchy aggregatedColumn="14"/>
        </ext>
      </extLst>
    </cacheHierarchy>
    <cacheHierarchy uniqueName="[Measures].[Sum of geekbenchSingle]" caption="Sum of geekbenchSingle" measure="1" displayFolder="" measureGroup="Data_CPU" count="0" oneField="1">
      <fieldsUsage count="1">
        <fieldUsage x="1"/>
      </fieldsUsage>
      <extLst>
        <ext xmlns:x15="http://schemas.microsoft.com/office/spreadsheetml/2010/11/main" uri="{B97F6D7D-B522-45F9-BDA1-12C45D357490}">
          <x15:cacheHierarchy aggregatedColumn="13"/>
        </ext>
      </extLst>
    </cacheHierarchy>
    <cacheHierarchy uniqueName="[Measures].[Count of CPU_Clean]" caption="Count of CPU_Clean" measure="1" displayFolder="" measureGroup="Data_CPU" count="0">
      <extLst>
        <ext xmlns:x15="http://schemas.microsoft.com/office/spreadsheetml/2010/11/main" uri="{B97F6D7D-B522-45F9-BDA1-12C45D357490}">
          <x15:cacheHierarchy aggregatedColumn="21"/>
        </ext>
      </extLst>
    </cacheHierarchy>
    <cacheHierarchy uniqueName="[Measures].[Avg_GeekbenchMulti]" caption="Avg_GeekbenchMulti" measure="1" displayFolder="" measureGroup="Data_CPU" count="0"/>
    <cacheHierarchy uniqueName="[Measures].[Avg_AnTuTuScore]" caption="Avg_AnTuTuScore" measure="1" displayFolder="" measureGroup="Data_AnTuTu" count="0"/>
    <cacheHierarchy uniqueName="[Measures].[Avg_CPUAnTuTu]" caption="Avg_CPUAnTuTu" measure="1" displayFolder="" measureGroup="Data_CPU" count="0"/>
    <cacheHierarchy uniqueName="[Measures].[__XL_Count Data_CPU]" caption="__XL_Count Data_CPU" measure="1" displayFolder="" measureGroup="Data_CPU" count="0" hidden="1"/>
    <cacheHierarchy uniqueName="[Measures].[__XL_Count Data_ML]" caption="__XL_Count Data_ML" measure="1" displayFolder="" measureGroup="Data_ML" count="0" hidden="1"/>
    <cacheHierarchy uniqueName="[Measures].[__XL_Count Data_AnTuTu]" caption="__XL_Count Data_AnTuTu" measure="1" displayFolder="" measureGroup="Data_AnTuTu" count="0" hidden="1"/>
    <cacheHierarchy uniqueName="[Measures].[__No measures defined]" caption="__No measures defined" measure="1" displayFolder="" count="0" hidden="1"/>
  </cacheHierarchies>
  <kpis count="0"/>
  <dimensions count="4">
    <dimension name="Data_AnTuTu" uniqueName="[Data_AnTuTu]" caption="Data_AnTuTu"/>
    <dimension name="Data_CPU" uniqueName="[Data_CPU]" caption="Data_CPU"/>
    <dimension name="Data_ML" uniqueName="[Data_ML]" caption="Data_ML"/>
    <dimension measure="1" name="Measures" uniqueName="[Measures]" caption="Measures"/>
  </dimensions>
  <measureGroups count="3">
    <measureGroup name="Data_AnTuTu" caption="Data_AnTuTu"/>
    <measureGroup name="Data_CPU" caption="Data_CPU"/>
    <measureGroup name="Data_ML" caption="Data_ML"/>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Roger Nathanael" refreshedDate="46171.661791203704" backgroundQuery="1" createdVersion="8" refreshedVersion="8" minRefreshableVersion="3" recordCount="0" supportSubquery="1" supportAdvancedDrill="1" xr:uid="{AABD998A-1F33-40BF-8352-D2814A505517}">
  <cacheSource type="external" connectionId="4"/>
  <cacheFields count="2">
    <cacheField name="[Data_CPU].[company].[company]" caption="company" numFmtId="0" hierarchy="11" level="1">
      <sharedItems count="7">
        <s v="Apple"/>
        <s v="Google"/>
        <s v="HiSilicon"/>
        <s v="MediaTek"/>
        <s v="Qualcomm"/>
        <s v="Samsung"/>
        <s v="Unisoc"/>
      </sharedItems>
    </cacheField>
    <cacheField name="[Measures].[Count of CPU_Clean]" caption="Count of CPU_Clean" numFmtId="0" hierarchy="41" level="32767"/>
  </cacheFields>
  <cacheHierarchies count="49">
    <cacheHierarchy uniqueName="[Data_AnTuTu].[Device]" caption="Device" attribute="1" defaultMemberUniqueName="[Data_AnTuTu].[Device].[All]" allUniqueName="[Data_AnTuTu].[Device].[All]" dimensionUniqueName="[Data_AnTuTu]" displayFolder="" count="0" memberValueDatatype="130" unbalanced="0"/>
    <cacheHierarchy uniqueName="[Data_AnTuTu].[brand]" caption="brand" attribute="1" defaultMemberUniqueName="[Data_AnTuTu].[brand].[All]" allUniqueName="[Data_AnTuTu].[brand].[All]" dimensionUniqueName="[Data_AnTuTu]" displayFolder="" count="0" memberValueDatatype="130" unbalanced="0"/>
    <cacheHierarchy uniqueName="[Data_AnTuTu].[CPU]" caption="CPU" attribute="1" defaultMemberUniqueName="[Data_AnTuTu].[CPU].[All]" allUniqueName="[Data_AnTuTu].[CPU].[All]" dimensionUniqueName="[Data_AnTuTu]" displayFolder="" count="0" memberValueDatatype="20" unbalanced="0"/>
    <cacheHierarchy uniqueName="[Data_AnTuTu].[GPU]" caption="GPU" attribute="1" defaultMemberUniqueName="[Data_AnTuTu].[GPU].[All]" allUniqueName="[Data_AnTuTu].[GPU].[All]" dimensionUniqueName="[Data_AnTuTu]" displayFolder="" count="0" memberValueDatatype="20" unbalanced="0"/>
    <cacheHierarchy uniqueName="[Data_AnTuTu].[MEM]" caption="MEM" attribute="1" defaultMemberUniqueName="[Data_AnTuTu].[MEM].[All]" allUniqueName="[Data_AnTuTu].[MEM].[All]" dimensionUniqueName="[Data_AnTuTu]" displayFolder="" count="0" memberValueDatatype="20" unbalanced="0"/>
    <cacheHierarchy uniqueName="[Data_AnTuTu].[UX]" caption="UX" attribute="1" defaultMemberUniqueName="[Data_AnTuTu].[UX].[All]" allUniqueName="[Data_AnTuTu].[UX].[All]" dimensionUniqueName="[Data_AnTuTu]" displayFolder="" count="0" memberValueDatatype="20" unbalanced="0"/>
    <cacheHierarchy uniqueName="[Data_AnTuTu].[Total Score]" caption="Total Score" attribute="1" defaultMemberUniqueName="[Data_AnTuTu].[Total Score].[All]" allUniqueName="[Data_AnTuTu].[Total Score].[All]" dimensionUniqueName="[Data_AnTuTu]" displayFolder="" count="0" memberValueDatatype="20" unbalanced="0"/>
    <cacheHierarchy uniqueName="[Data_AnTuTu].[Device_Clean]" caption="Device_Clean" attribute="1" defaultMemberUniqueName="[Data_AnTuTu].[Device_Clean].[All]" allUniqueName="[Data_AnTuTu].[Device_Clean].[All]" dimensionUniqueName="[Data_AnTuTu]" displayFolder="" count="0" memberValueDatatype="130" unbalanced="0"/>
    <cacheHierarchy uniqueName="[Data_AnTuTu].[CPU_Name_Bridge]" caption="CPU_Name_Bridge" attribute="1" defaultMemberUniqueName="[Data_AnTuTu].[CPU_Name_Bridge].[All]" allUniqueName="[Data_AnTuTu].[CPU_Name_Bridge].[All]" dimensionUniqueName="[Data_AnTuTu]" displayFolder="" count="0" memberValueDatatype="130" unbalanced="0"/>
    <cacheHierarchy uniqueName="[Data_AnTuTu].[Core_Count_Lookup]" caption="Core_Count_Lookup" attribute="1" defaultMemberUniqueName="[Data_AnTuTu].[Core_Count_Lookup].[All]" allUniqueName="[Data_AnTuTu].[Core_Count_Lookup].[All]" dimensionUniqueName="[Data_AnTuTu]" displayFolder="" count="0" memberValueDatatype="130" unbalanced="0"/>
    <cacheHierarchy uniqueName="[Data_CPU].[rank]" caption="rank" attribute="1" defaultMemberUniqueName="[Data_CPU].[rank].[All]" allUniqueName="[Data_CPU].[rank].[All]" dimensionUniqueName="[Data_CPU]" displayFolder="" count="0" memberValueDatatype="20" unbalanced="0"/>
    <cacheHierarchy uniqueName="[Data_CPU].[company]" caption="company" attribute="1" defaultMemberUniqueName="[Data_CPU].[company].[All]" allUniqueName="[Data_CPU].[company].[All]" dimensionUniqueName="[Data_CPU]" displayFolder="" count="2" memberValueDatatype="130" unbalanced="0">
      <fieldsUsage count="2">
        <fieldUsage x="-1"/>
        <fieldUsage x="0"/>
      </fieldsUsage>
    </cacheHierarchy>
    <cacheHierarchy uniqueName="[Data_CPU].[cpuName]" caption="cpuName" attribute="1" defaultMemberUniqueName="[Data_CPU].[cpuName].[All]" allUniqueName="[Data_CPU].[cpuName].[All]" dimensionUniqueName="[Data_CPU]" displayFolder="" count="0" memberValueDatatype="130" unbalanced="0"/>
    <cacheHierarchy uniqueName="[Data_CPU].[geekbenchSingle]" caption="geekbenchSingle" attribute="1" defaultMemberUniqueName="[Data_CPU].[geekbenchSingle].[All]" allUniqueName="[Data_CPU].[geekbenchSingle].[All]" dimensionUniqueName="[Data_CPU]" displayFolder="" count="0" memberValueDatatype="20" unbalanced="0"/>
    <cacheHierarchy uniqueName="[Data_CPU].[geekbenchMulti]" caption="geekbenchMulti" attribute="1" defaultMemberUniqueName="[Data_CPU].[geekbenchMulti].[All]" allUniqueName="[Data_CPU].[geekbenchMulti].[All]" dimensionUniqueName="[Data_CPU]" displayFolder="" count="0" memberValueDatatype="20" unbalanced="0"/>
    <cacheHierarchy uniqueName="[Data_CPU].[antutu9]" caption="antutu9" attribute="1" defaultMemberUniqueName="[Data_CPU].[antutu9].[All]" allUniqueName="[Data_CPU].[antutu9].[All]" dimensionUniqueName="[Data_CPU]" displayFolder="" count="0" memberValueDatatype="20" unbalanced="0"/>
    <cacheHierarchy uniqueName="[Data_CPU].[coreCount]" caption="coreCount" attribute="1" defaultMemberUniqueName="[Data_CPU].[coreCount].[All]" allUniqueName="[Data_CPU].[coreCount].[All]" dimensionUniqueName="[Data_CPU]" displayFolder="" count="0" memberValueDatatype="20" unbalanced="0"/>
    <cacheHierarchy uniqueName="[Data_CPU].[coreConfig]" caption="coreConfig" attribute="1" defaultMemberUniqueName="[Data_CPU].[coreConfig].[All]" allUniqueName="[Data_CPU].[coreConfig].[All]" dimensionUniqueName="[Data_CPU]" displayFolder="" count="0" memberValueDatatype="130" unbalanced="0"/>
    <cacheHierarchy uniqueName="[Data_CPU].[clockSpeed]" caption="clockSpeed" attribute="1" defaultMemberUniqueName="[Data_CPU].[clockSpeed].[All]" allUniqueName="[Data_CPU].[clockSpeed].[All]" dimensionUniqueName="[Data_CPU]" displayFolder="" count="0" memberValueDatatype="20" unbalanced="0"/>
    <cacheHierarchy uniqueName="[Data_CPU].[gpu]" caption="gpu" attribute="1" defaultMemberUniqueName="[Data_CPU].[gpu].[All]" allUniqueName="[Data_CPU].[gpu].[All]" dimensionUniqueName="[Data_CPU]" displayFolder="" count="0" memberValueDatatype="130" unbalanced="0"/>
    <cacheHierarchy uniqueName="[Data_CPU].[release_date]" caption="release_date" attribute="1" time="1" defaultMemberUniqueName="[Data_CPU].[release_date].[All]" allUniqueName="[Data_CPU].[release_date].[All]" dimensionUniqueName="[Data_CPU]" displayFolder="" count="0" memberValueDatatype="7" unbalanced="0"/>
    <cacheHierarchy uniqueName="[Data_CPU].[CPU_Clean]" caption="CPU_Clean" attribute="1" defaultMemberUniqueName="[Data_CPU].[CPU_Clean].[All]" allUniqueName="[Data_CPU].[CPU_Clean].[All]" dimensionUniqueName="[Data_CPU]" displayFolder="" count="0" memberValueDatatype="130" unbalanced="0"/>
    <cacheHierarchy uniqueName="[Data_CPU].[release_year]" caption="release_year" attribute="1" defaultMemberUniqueName="[Data_CPU].[release_year].[All]" allUniqueName="[Data_CPU].[release_year].[All]" dimensionUniqueName="[Data_CPU]" displayFolder="" count="0" memberValueDatatype="20" unbalanced="0"/>
    <cacheHierarchy uniqueName="[Data_CPU].[PerformanceTier]" caption="PerformanceTier" attribute="1" defaultMemberUniqueName="[Data_CPU].[PerformanceTier].[All]" allUniqueName="[Data_CPU].[PerformanceTier].[All]" dimensionUniqueName="[Data_CPU]" displayFolder="" count="0" memberValueDatatype="130" unbalanced="0"/>
    <cacheHierarchy uniqueName="[Data_CPU].[ScorePerGHz]" caption="ScorePerGHz" attribute="1" defaultMemberUniqueName="[Data_CPU].[ScorePerGHz].[All]" allUniqueName="[Data_CPU].[ScorePerGHz].[All]" dimensionUniqueName="[Data_CPU]" displayFolder="" count="0" memberValueDatatype="20" unbalanced="0"/>
    <cacheHierarchy uniqueName="[Data_CPU].[ClockCategory]" caption="ClockCategory" attribute="1" defaultMemberUniqueName="[Data_CPU].[ClockCategory].[All]" allUniqueName="[Data_CPU].[ClockCategory].[All]" dimensionUniqueName="[Data_CPU]" displayFolder="" count="0" memberValueDatatype="130" unbalanced="0"/>
    <cacheHierarchy uniqueName="[Data_CPU].[AnTuTuTier]" caption="AnTuTuTier" attribute="1" defaultMemberUniqueName="[Data_CPU].[AnTuTuTier].[All]" allUniqueName="[Data_CPU].[AnTuTuTier].[All]" dimensionUniqueName="[Data_CPU]" displayFolder="" count="0" memberValueDatatype="130" unbalanced="0"/>
    <cacheHierarchy uniqueName="[Data_ML].[device]" caption="device" attribute="1" defaultMemberUniqueName="[Data_ML].[device].[All]" allUniqueName="[Data_ML].[device].[All]" dimensionUniqueName="[Data_ML]" displayFolder="" count="0" memberValueDatatype="130" unbalanced="0"/>
    <cacheHierarchy uniqueName="[Data_ML].[company]" caption="company" attribute="1" defaultMemberUniqueName="[Data_ML].[company].[All]" allUniqueName="[Data_ML].[company].[All]" dimensionUniqueName="[Data_ML]" displayFolder="" count="0" memberValueDatatype="130" unbalanced="0"/>
    <cacheHierarchy uniqueName="[Data_ML].[cpuName]" caption="cpuName" attribute="1" defaultMemberUniqueName="[Data_ML].[cpuName].[All]" allUniqueName="[Data_ML].[cpuName].[All]" dimensionUniqueName="[Data_ML]" displayFolder="" count="0" memberValueDatatype="130" unbalanced="0"/>
    <cacheHierarchy uniqueName="[Data_ML].[cores]" caption="cores" attribute="1" defaultMemberUniqueName="[Data_ML].[cores].[All]" allUniqueName="[Data_ML].[cores].[All]" dimensionUniqueName="[Data_ML]" displayFolder="" count="0" memberValueDatatype="20" unbalanced="0"/>
    <cacheHierarchy uniqueName="[Data_ML].[clock]" caption="clock" attribute="1" defaultMemberUniqueName="[Data_ML].[clock].[All]" allUniqueName="[Data_ML].[clock].[All]" dimensionUniqueName="[Data_ML]" displayFolder="" count="0" memberValueDatatype="20" unbalanced="0"/>
    <cacheHierarchy uniqueName="[Data_ML].[cpuScore]" caption="cpuScore" attribute="1" defaultMemberUniqueName="[Data_ML].[cpuScore].[All]" allUniqueName="[Data_ML].[cpuScore].[All]" dimensionUniqueName="[Data_ML]" displayFolder="" count="0" memberValueDatatype="20" unbalanced="0"/>
    <cacheHierarchy uniqueName="[Data_ML].[gpuScore]" caption="gpuScore" attribute="1" defaultMemberUniqueName="[Data_ML].[gpuScore].[All]" allUniqueName="[Data_ML].[gpuScore].[All]" dimensionUniqueName="[Data_ML]" displayFolder="" count="0" memberValueDatatype="20" unbalanced="0"/>
    <cacheHierarchy uniqueName="[Data_ML].[npuScore]" caption="npuScore" attribute="1" defaultMemberUniqueName="[Data_ML].[npuScore].[All]" allUniqueName="[Data_ML].[npuScore].[All]" dimensionUniqueName="[Data_ML]" displayFolder="" count="0" memberValueDatatype="20" unbalanced="0"/>
    <cacheHierarchy uniqueName="[Data_ML].[release_date]" caption="release_date" attribute="1" time="1" defaultMemberUniqueName="[Data_ML].[release_date].[All]" allUniqueName="[Data_ML].[release_date].[All]" dimensionUniqueName="[Data_ML]" displayFolder="" count="0" memberValueDatatype="7" unbalanced="0"/>
    <cacheHierarchy uniqueName="[Data_ML].[CPU_Clean]" caption="CPU_Clean" attribute="1" defaultMemberUniqueName="[Data_ML].[CPU_Clean].[All]" allUniqueName="[Data_ML].[CPU_Clean].[All]" dimensionUniqueName="[Data_ML]" displayFolder="" count="0" memberValueDatatype="130" unbalanced="0"/>
    <cacheHierarchy uniqueName="[Data_ML].[release_year]" caption="release_year" attribute="1" defaultMemberUniqueName="[Data_ML].[release_year].[All]" allUniqueName="[Data_ML].[release_year].[All]" dimensionUniqueName="[Data_ML]" displayFolder="" count="0" memberValueDatatype="20" unbalanced="0"/>
    <cacheHierarchy uniqueName="[Measures].[Sum of geekbenchMulti]" caption="Sum of geekbenchMulti" measure="1" displayFolder="" measureGroup="Data_CPU" count="0">
      <extLst>
        <ext xmlns:x15="http://schemas.microsoft.com/office/spreadsheetml/2010/11/main" uri="{B97F6D7D-B522-45F9-BDA1-12C45D357490}">
          <x15:cacheHierarchy aggregatedColumn="14"/>
        </ext>
      </extLst>
    </cacheHierarchy>
    <cacheHierarchy uniqueName="[Measures].[Average of geekbenchMulti]" caption="Average of geekbenchMulti" measure="1" displayFolder="" measureGroup="Data_CPU" count="0">
      <extLst>
        <ext xmlns:x15="http://schemas.microsoft.com/office/spreadsheetml/2010/11/main" uri="{B97F6D7D-B522-45F9-BDA1-12C45D357490}">
          <x15:cacheHierarchy aggregatedColumn="14"/>
        </ext>
      </extLst>
    </cacheHierarchy>
    <cacheHierarchy uniqueName="[Measures].[Sum of geekbenchSingle]" caption="Sum of geekbenchSingle" measure="1" displayFolder="" measureGroup="Data_CPU" count="0">
      <extLst>
        <ext xmlns:x15="http://schemas.microsoft.com/office/spreadsheetml/2010/11/main" uri="{B97F6D7D-B522-45F9-BDA1-12C45D357490}">
          <x15:cacheHierarchy aggregatedColumn="13"/>
        </ext>
      </extLst>
    </cacheHierarchy>
    <cacheHierarchy uniqueName="[Measures].[Count of CPU_Clean]" caption="Count of CPU_Clean" measure="1" displayFolder="" measureGroup="Data_CPU" count="0" oneField="1">
      <fieldsUsage count="1">
        <fieldUsage x="1"/>
      </fieldsUsage>
      <extLst>
        <ext xmlns:x15="http://schemas.microsoft.com/office/spreadsheetml/2010/11/main" uri="{B97F6D7D-B522-45F9-BDA1-12C45D357490}">
          <x15:cacheHierarchy aggregatedColumn="21"/>
        </ext>
      </extLst>
    </cacheHierarchy>
    <cacheHierarchy uniqueName="[Measures].[Avg_GeekbenchMulti]" caption="Avg_GeekbenchMulti" measure="1" displayFolder="" measureGroup="Data_CPU" count="0"/>
    <cacheHierarchy uniqueName="[Measures].[Avg_AnTuTuScore]" caption="Avg_AnTuTuScore" measure="1" displayFolder="" measureGroup="Data_AnTuTu" count="0"/>
    <cacheHierarchy uniqueName="[Measures].[Avg_CPUAnTuTu]" caption="Avg_CPUAnTuTu" measure="1" displayFolder="" measureGroup="Data_CPU" count="0"/>
    <cacheHierarchy uniqueName="[Measures].[__XL_Count Data_CPU]" caption="__XL_Count Data_CPU" measure="1" displayFolder="" measureGroup="Data_CPU" count="0" hidden="1"/>
    <cacheHierarchy uniqueName="[Measures].[__XL_Count Data_ML]" caption="__XL_Count Data_ML" measure="1" displayFolder="" measureGroup="Data_ML" count="0" hidden="1"/>
    <cacheHierarchy uniqueName="[Measures].[__XL_Count Data_AnTuTu]" caption="__XL_Count Data_AnTuTu" measure="1" displayFolder="" measureGroup="Data_AnTuTu" count="0" hidden="1"/>
    <cacheHierarchy uniqueName="[Measures].[__No measures defined]" caption="__No measures defined" measure="1" displayFolder="" count="0" hidden="1"/>
  </cacheHierarchies>
  <kpis count="0"/>
  <dimensions count="4">
    <dimension name="Data_AnTuTu" uniqueName="[Data_AnTuTu]" caption="Data_AnTuTu"/>
    <dimension name="Data_CPU" uniqueName="[Data_CPU]" caption="Data_CPU"/>
    <dimension name="Data_ML" uniqueName="[Data_ML]" caption="Data_ML"/>
    <dimension measure="1" name="Measures" uniqueName="[Measures]" caption="Measures"/>
  </dimensions>
  <measureGroups count="3">
    <measureGroup name="Data_AnTuTu" caption="Data_AnTuTu"/>
    <measureGroup name="Data_CPU" caption="Data_CPU"/>
    <measureGroup name="Data_ML" caption="Data_ML"/>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Roger Nathanael" refreshedDate="46171.661792245373" backgroundQuery="1" createdVersion="8" refreshedVersion="8" minRefreshableVersion="3" recordCount="0" supportSubquery="1" supportAdvancedDrill="1" xr:uid="{33247098-8E4F-432D-BFB3-507D3964F5A4}">
  <cacheSource type="external" connectionId="4"/>
  <cacheFields count="2">
    <cacheField name="[Data_CPU].[release_year].[release_year]" caption="release_year" numFmtId="0" hierarchy="22" level="1">
      <sharedItems containsSemiMixedTypes="0" containsString="0" containsNumber="1" containsInteger="1" minValue="2015" maxValue="2022" count="8">
        <n v="2015"/>
        <n v="2016"/>
        <n v="2017"/>
        <n v="2018"/>
        <n v="2019"/>
        <n v="2020"/>
        <n v="2021"/>
        <n v="2022"/>
      </sharedItems>
      <extLst>
        <ext xmlns:x15="http://schemas.microsoft.com/office/spreadsheetml/2010/11/main" uri="{4F2E5C28-24EA-4eb8-9CBF-B6C8F9C3D259}">
          <x15:cachedUniqueNames>
            <x15:cachedUniqueName index="0" name="[Data_CPU].[release_year].&amp;[2015]"/>
            <x15:cachedUniqueName index="1" name="[Data_CPU].[release_year].&amp;[2016]"/>
            <x15:cachedUniqueName index="2" name="[Data_CPU].[release_year].&amp;[2017]"/>
            <x15:cachedUniqueName index="3" name="[Data_CPU].[release_year].&amp;[2018]"/>
            <x15:cachedUniqueName index="4" name="[Data_CPU].[release_year].&amp;[2019]"/>
            <x15:cachedUniqueName index="5" name="[Data_CPU].[release_year].&amp;[2020]"/>
            <x15:cachedUniqueName index="6" name="[Data_CPU].[release_year].&amp;[2021]"/>
            <x15:cachedUniqueName index="7" name="[Data_CPU].[release_year].&amp;[2022]"/>
          </x15:cachedUniqueNames>
        </ext>
      </extLst>
    </cacheField>
    <cacheField name="[Measures].[Average of geekbenchMulti]" caption="Average of geekbenchMulti" numFmtId="0" hierarchy="39" level="32767"/>
  </cacheFields>
  <cacheHierarchies count="49">
    <cacheHierarchy uniqueName="[Data_AnTuTu].[Device]" caption="Device" attribute="1" defaultMemberUniqueName="[Data_AnTuTu].[Device].[All]" allUniqueName="[Data_AnTuTu].[Device].[All]" dimensionUniqueName="[Data_AnTuTu]" displayFolder="" count="0" memberValueDatatype="130" unbalanced="0"/>
    <cacheHierarchy uniqueName="[Data_AnTuTu].[brand]" caption="brand" attribute="1" defaultMemberUniqueName="[Data_AnTuTu].[brand].[All]" allUniqueName="[Data_AnTuTu].[brand].[All]" dimensionUniqueName="[Data_AnTuTu]" displayFolder="" count="0" memberValueDatatype="130" unbalanced="0"/>
    <cacheHierarchy uniqueName="[Data_AnTuTu].[CPU]" caption="CPU" attribute="1" defaultMemberUniqueName="[Data_AnTuTu].[CPU].[All]" allUniqueName="[Data_AnTuTu].[CPU].[All]" dimensionUniqueName="[Data_AnTuTu]" displayFolder="" count="0" memberValueDatatype="20" unbalanced="0"/>
    <cacheHierarchy uniqueName="[Data_AnTuTu].[GPU]" caption="GPU" attribute="1" defaultMemberUniqueName="[Data_AnTuTu].[GPU].[All]" allUniqueName="[Data_AnTuTu].[GPU].[All]" dimensionUniqueName="[Data_AnTuTu]" displayFolder="" count="0" memberValueDatatype="20" unbalanced="0"/>
    <cacheHierarchy uniqueName="[Data_AnTuTu].[MEM]" caption="MEM" attribute="1" defaultMemberUniqueName="[Data_AnTuTu].[MEM].[All]" allUniqueName="[Data_AnTuTu].[MEM].[All]" dimensionUniqueName="[Data_AnTuTu]" displayFolder="" count="0" memberValueDatatype="20" unbalanced="0"/>
    <cacheHierarchy uniqueName="[Data_AnTuTu].[UX]" caption="UX" attribute="1" defaultMemberUniqueName="[Data_AnTuTu].[UX].[All]" allUniqueName="[Data_AnTuTu].[UX].[All]" dimensionUniqueName="[Data_AnTuTu]" displayFolder="" count="0" memberValueDatatype="20" unbalanced="0"/>
    <cacheHierarchy uniqueName="[Data_AnTuTu].[Total Score]" caption="Total Score" attribute="1" defaultMemberUniqueName="[Data_AnTuTu].[Total Score].[All]" allUniqueName="[Data_AnTuTu].[Total Score].[All]" dimensionUniqueName="[Data_AnTuTu]" displayFolder="" count="0" memberValueDatatype="20" unbalanced="0"/>
    <cacheHierarchy uniqueName="[Data_AnTuTu].[Device_Clean]" caption="Device_Clean" attribute="1" defaultMemberUniqueName="[Data_AnTuTu].[Device_Clean].[All]" allUniqueName="[Data_AnTuTu].[Device_Clean].[All]" dimensionUniqueName="[Data_AnTuTu]" displayFolder="" count="0" memberValueDatatype="130" unbalanced="0"/>
    <cacheHierarchy uniqueName="[Data_AnTuTu].[CPU_Name_Bridge]" caption="CPU_Name_Bridge" attribute="1" defaultMemberUniqueName="[Data_AnTuTu].[CPU_Name_Bridge].[All]" allUniqueName="[Data_AnTuTu].[CPU_Name_Bridge].[All]" dimensionUniqueName="[Data_AnTuTu]" displayFolder="" count="0" memberValueDatatype="130" unbalanced="0"/>
    <cacheHierarchy uniqueName="[Data_AnTuTu].[Core_Count_Lookup]" caption="Core_Count_Lookup" attribute="1" defaultMemberUniqueName="[Data_AnTuTu].[Core_Count_Lookup].[All]" allUniqueName="[Data_AnTuTu].[Core_Count_Lookup].[All]" dimensionUniqueName="[Data_AnTuTu]" displayFolder="" count="0" memberValueDatatype="130" unbalanced="0"/>
    <cacheHierarchy uniqueName="[Data_CPU].[rank]" caption="rank" attribute="1" defaultMemberUniqueName="[Data_CPU].[rank].[All]" allUniqueName="[Data_CPU].[rank].[All]" dimensionUniqueName="[Data_CPU]" displayFolder="" count="0" memberValueDatatype="20" unbalanced="0"/>
    <cacheHierarchy uniqueName="[Data_CPU].[company]" caption="company" attribute="1" defaultMemberUniqueName="[Data_CPU].[company].[All]" allUniqueName="[Data_CPU].[company].[All]" dimensionUniqueName="[Data_CPU]" displayFolder="" count="0" memberValueDatatype="130" unbalanced="0"/>
    <cacheHierarchy uniqueName="[Data_CPU].[cpuName]" caption="cpuName" attribute="1" defaultMemberUniqueName="[Data_CPU].[cpuName].[All]" allUniqueName="[Data_CPU].[cpuName].[All]" dimensionUniqueName="[Data_CPU]" displayFolder="" count="0" memberValueDatatype="130" unbalanced="0"/>
    <cacheHierarchy uniqueName="[Data_CPU].[geekbenchSingle]" caption="geekbenchSingle" attribute="1" defaultMemberUniqueName="[Data_CPU].[geekbenchSingle].[All]" allUniqueName="[Data_CPU].[geekbenchSingle].[All]" dimensionUniqueName="[Data_CPU]" displayFolder="" count="0" memberValueDatatype="20" unbalanced="0"/>
    <cacheHierarchy uniqueName="[Data_CPU].[geekbenchMulti]" caption="geekbenchMulti" attribute="1" defaultMemberUniqueName="[Data_CPU].[geekbenchMulti].[All]" allUniqueName="[Data_CPU].[geekbenchMulti].[All]" dimensionUniqueName="[Data_CPU]" displayFolder="" count="0" memberValueDatatype="20" unbalanced="0"/>
    <cacheHierarchy uniqueName="[Data_CPU].[antutu9]" caption="antutu9" attribute="1" defaultMemberUniqueName="[Data_CPU].[antutu9].[All]" allUniqueName="[Data_CPU].[antutu9].[All]" dimensionUniqueName="[Data_CPU]" displayFolder="" count="0" memberValueDatatype="20" unbalanced="0"/>
    <cacheHierarchy uniqueName="[Data_CPU].[coreCount]" caption="coreCount" attribute="1" defaultMemberUniqueName="[Data_CPU].[coreCount].[All]" allUniqueName="[Data_CPU].[coreCount].[All]" dimensionUniqueName="[Data_CPU]" displayFolder="" count="0" memberValueDatatype="20" unbalanced="0"/>
    <cacheHierarchy uniqueName="[Data_CPU].[coreConfig]" caption="coreConfig" attribute="1" defaultMemberUniqueName="[Data_CPU].[coreConfig].[All]" allUniqueName="[Data_CPU].[coreConfig].[All]" dimensionUniqueName="[Data_CPU]" displayFolder="" count="0" memberValueDatatype="130" unbalanced="0"/>
    <cacheHierarchy uniqueName="[Data_CPU].[clockSpeed]" caption="clockSpeed" attribute="1" defaultMemberUniqueName="[Data_CPU].[clockSpeed].[All]" allUniqueName="[Data_CPU].[clockSpeed].[All]" dimensionUniqueName="[Data_CPU]" displayFolder="" count="0" memberValueDatatype="20" unbalanced="0"/>
    <cacheHierarchy uniqueName="[Data_CPU].[gpu]" caption="gpu" attribute="1" defaultMemberUniqueName="[Data_CPU].[gpu].[All]" allUniqueName="[Data_CPU].[gpu].[All]" dimensionUniqueName="[Data_CPU]" displayFolder="" count="0" memberValueDatatype="130" unbalanced="0"/>
    <cacheHierarchy uniqueName="[Data_CPU].[release_date]" caption="release_date" attribute="1" time="1" defaultMemberUniqueName="[Data_CPU].[release_date].[All]" allUniqueName="[Data_CPU].[release_date].[All]" dimensionUniqueName="[Data_CPU]" displayFolder="" count="0" memberValueDatatype="7" unbalanced="0"/>
    <cacheHierarchy uniqueName="[Data_CPU].[CPU_Clean]" caption="CPU_Clean" attribute="1" defaultMemberUniqueName="[Data_CPU].[CPU_Clean].[All]" allUniqueName="[Data_CPU].[CPU_Clean].[All]" dimensionUniqueName="[Data_CPU]" displayFolder="" count="0" memberValueDatatype="130" unbalanced="0"/>
    <cacheHierarchy uniqueName="[Data_CPU].[release_year]" caption="release_year" attribute="1" defaultMemberUniqueName="[Data_CPU].[release_year].[All]" allUniqueName="[Data_CPU].[release_year].[All]" dimensionUniqueName="[Data_CPU]" displayFolder="" count="2" memberValueDatatype="20" unbalanced="0">
      <fieldsUsage count="2">
        <fieldUsage x="-1"/>
        <fieldUsage x="0"/>
      </fieldsUsage>
    </cacheHierarchy>
    <cacheHierarchy uniqueName="[Data_CPU].[PerformanceTier]" caption="PerformanceTier" attribute="1" defaultMemberUniqueName="[Data_CPU].[PerformanceTier].[All]" allUniqueName="[Data_CPU].[PerformanceTier].[All]" dimensionUniqueName="[Data_CPU]" displayFolder="" count="0" memberValueDatatype="130" unbalanced="0"/>
    <cacheHierarchy uniqueName="[Data_CPU].[ScorePerGHz]" caption="ScorePerGHz" attribute="1" defaultMemberUniqueName="[Data_CPU].[ScorePerGHz].[All]" allUniqueName="[Data_CPU].[ScorePerGHz].[All]" dimensionUniqueName="[Data_CPU]" displayFolder="" count="0" memberValueDatatype="20" unbalanced="0"/>
    <cacheHierarchy uniqueName="[Data_CPU].[ClockCategory]" caption="ClockCategory" attribute="1" defaultMemberUniqueName="[Data_CPU].[ClockCategory].[All]" allUniqueName="[Data_CPU].[ClockCategory].[All]" dimensionUniqueName="[Data_CPU]" displayFolder="" count="0" memberValueDatatype="130" unbalanced="0"/>
    <cacheHierarchy uniqueName="[Data_CPU].[AnTuTuTier]" caption="AnTuTuTier" attribute="1" defaultMemberUniqueName="[Data_CPU].[AnTuTuTier].[All]" allUniqueName="[Data_CPU].[AnTuTuTier].[All]" dimensionUniqueName="[Data_CPU]" displayFolder="" count="0" memberValueDatatype="130" unbalanced="0"/>
    <cacheHierarchy uniqueName="[Data_ML].[device]" caption="device" attribute="1" defaultMemberUniqueName="[Data_ML].[device].[All]" allUniqueName="[Data_ML].[device].[All]" dimensionUniqueName="[Data_ML]" displayFolder="" count="0" memberValueDatatype="130" unbalanced="0"/>
    <cacheHierarchy uniqueName="[Data_ML].[company]" caption="company" attribute="1" defaultMemberUniqueName="[Data_ML].[company].[All]" allUniqueName="[Data_ML].[company].[All]" dimensionUniqueName="[Data_ML]" displayFolder="" count="0" memberValueDatatype="130" unbalanced="0"/>
    <cacheHierarchy uniqueName="[Data_ML].[cpuName]" caption="cpuName" attribute="1" defaultMemberUniqueName="[Data_ML].[cpuName].[All]" allUniqueName="[Data_ML].[cpuName].[All]" dimensionUniqueName="[Data_ML]" displayFolder="" count="0" memberValueDatatype="130" unbalanced="0"/>
    <cacheHierarchy uniqueName="[Data_ML].[cores]" caption="cores" attribute="1" defaultMemberUniqueName="[Data_ML].[cores].[All]" allUniqueName="[Data_ML].[cores].[All]" dimensionUniqueName="[Data_ML]" displayFolder="" count="0" memberValueDatatype="20" unbalanced="0"/>
    <cacheHierarchy uniqueName="[Data_ML].[clock]" caption="clock" attribute="1" defaultMemberUniqueName="[Data_ML].[clock].[All]" allUniqueName="[Data_ML].[clock].[All]" dimensionUniqueName="[Data_ML]" displayFolder="" count="0" memberValueDatatype="20" unbalanced="0"/>
    <cacheHierarchy uniqueName="[Data_ML].[cpuScore]" caption="cpuScore" attribute="1" defaultMemberUniqueName="[Data_ML].[cpuScore].[All]" allUniqueName="[Data_ML].[cpuScore].[All]" dimensionUniqueName="[Data_ML]" displayFolder="" count="0" memberValueDatatype="20" unbalanced="0"/>
    <cacheHierarchy uniqueName="[Data_ML].[gpuScore]" caption="gpuScore" attribute="1" defaultMemberUniqueName="[Data_ML].[gpuScore].[All]" allUniqueName="[Data_ML].[gpuScore].[All]" dimensionUniqueName="[Data_ML]" displayFolder="" count="0" memberValueDatatype="20" unbalanced="0"/>
    <cacheHierarchy uniqueName="[Data_ML].[npuScore]" caption="npuScore" attribute="1" defaultMemberUniqueName="[Data_ML].[npuScore].[All]" allUniqueName="[Data_ML].[npuScore].[All]" dimensionUniqueName="[Data_ML]" displayFolder="" count="0" memberValueDatatype="20" unbalanced="0"/>
    <cacheHierarchy uniqueName="[Data_ML].[release_date]" caption="release_date" attribute="1" time="1" defaultMemberUniqueName="[Data_ML].[release_date].[All]" allUniqueName="[Data_ML].[release_date].[All]" dimensionUniqueName="[Data_ML]" displayFolder="" count="0" memberValueDatatype="7" unbalanced="0"/>
    <cacheHierarchy uniqueName="[Data_ML].[CPU_Clean]" caption="CPU_Clean" attribute="1" defaultMemberUniqueName="[Data_ML].[CPU_Clean].[All]" allUniqueName="[Data_ML].[CPU_Clean].[All]" dimensionUniqueName="[Data_ML]" displayFolder="" count="0" memberValueDatatype="130" unbalanced="0"/>
    <cacheHierarchy uniqueName="[Data_ML].[release_year]" caption="release_year" attribute="1" defaultMemberUniqueName="[Data_ML].[release_year].[All]" allUniqueName="[Data_ML].[release_year].[All]" dimensionUniqueName="[Data_ML]" displayFolder="" count="0" memberValueDatatype="20" unbalanced="0"/>
    <cacheHierarchy uniqueName="[Measures].[Sum of geekbenchMulti]" caption="Sum of geekbenchMulti" measure="1" displayFolder="" measureGroup="Data_CPU" count="0">
      <extLst>
        <ext xmlns:x15="http://schemas.microsoft.com/office/spreadsheetml/2010/11/main" uri="{B97F6D7D-B522-45F9-BDA1-12C45D357490}">
          <x15:cacheHierarchy aggregatedColumn="14"/>
        </ext>
      </extLst>
    </cacheHierarchy>
    <cacheHierarchy uniqueName="[Measures].[Average of geekbenchMulti]" caption="Average of geekbenchMulti" measure="1" displayFolder="" measureGroup="Data_CPU" count="0" oneField="1">
      <fieldsUsage count="1">
        <fieldUsage x="1"/>
      </fieldsUsage>
      <extLst>
        <ext xmlns:x15="http://schemas.microsoft.com/office/spreadsheetml/2010/11/main" uri="{B97F6D7D-B522-45F9-BDA1-12C45D357490}">
          <x15:cacheHierarchy aggregatedColumn="14"/>
        </ext>
      </extLst>
    </cacheHierarchy>
    <cacheHierarchy uniqueName="[Measures].[Sum of geekbenchSingle]" caption="Sum of geekbenchSingle" measure="1" displayFolder="" measureGroup="Data_CPU" count="0">
      <extLst>
        <ext xmlns:x15="http://schemas.microsoft.com/office/spreadsheetml/2010/11/main" uri="{B97F6D7D-B522-45F9-BDA1-12C45D357490}">
          <x15:cacheHierarchy aggregatedColumn="13"/>
        </ext>
      </extLst>
    </cacheHierarchy>
    <cacheHierarchy uniqueName="[Measures].[Count of CPU_Clean]" caption="Count of CPU_Clean" measure="1" displayFolder="" measureGroup="Data_CPU" count="0">
      <extLst>
        <ext xmlns:x15="http://schemas.microsoft.com/office/spreadsheetml/2010/11/main" uri="{B97F6D7D-B522-45F9-BDA1-12C45D357490}">
          <x15:cacheHierarchy aggregatedColumn="21"/>
        </ext>
      </extLst>
    </cacheHierarchy>
    <cacheHierarchy uniqueName="[Measures].[Avg_GeekbenchMulti]" caption="Avg_GeekbenchMulti" measure="1" displayFolder="" measureGroup="Data_CPU" count="0"/>
    <cacheHierarchy uniqueName="[Measures].[Avg_AnTuTuScore]" caption="Avg_AnTuTuScore" measure="1" displayFolder="" measureGroup="Data_AnTuTu" count="0"/>
    <cacheHierarchy uniqueName="[Measures].[Avg_CPUAnTuTu]" caption="Avg_CPUAnTuTu" measure="1" displayFolder="" measureGroup="Data_CPU" count="0"/>
    <cacheHierarchy uniqueName="[Measures].[__XL_Count Data_CPU]" caption="__XL_Count Data_CPU" measure="1" displayFolder="" measureGroup="Data_CPU" count="0" hidden="1"/>
    <cacheHierarchy uniqueName="[Measures].[__XL_Count Data_ML]" caption="__XL_Count Data_ML" measure="1" displayFolder="" measureGroup="Data_ML" count="0" hidden="1"/>
    <cacheHierarchy uniqueName="[Measures].[__XL_Count Data_AnTuTu]" caption="__XL_Count Data_AnTuTu" measure="1" displayFolder="" measureGroup="Data_AnTuTu" count="0" hidden="1"/>
    <cacheHierarchy uniqueName="[Measures].[__No measures defined]" caption="__No measures defined" measure="1" displayFolder="" count="0" hidden="1"/>
  </cacheHierarchies>
  <kpis count="0"/>
  <dimensions count="4">
    <dimension name="Data_AnTuTu" uniqueName="[Data_AnTuTu]" caption="Data_AnTuTu"/>
    <dimension name="Data_CPU" uniqueName="[Data_CPU]" caption="Data_CPU"/>
    <dimension name="Data_ML" uniqueName="[Data_ML]" caption="Data_ML"/>
    <dimension measure="1" name="Measures" uniqueName="[Measures]" caption="Measures"/>
  </dimensions>
  <measureGroups count="3">
    <measureGroup name="Data_AnTuTu" caption="Data_AnTuTu"/>
    <measureGroup name="Data_CPU" caption="Data_CPU"/>
    <measureGroup name="Data_ML" caption="Data_ML"/>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Roger Nathanael" refreshedDate="46171.66179421296" backgroundQuery="1" createdVersion="3" refreshedVersion="8" minRefreshableVersion="3" recordCount="0" tupleCache="1" supportSubquery="1" supportAdvancedDrill="1" xr:uid="{130C31E1-6C1C-49FC-9319-E1FF4D5D04D5}">
  <cacheSource type="external" connectionId="4"/>
  <cacheFields count="3">
    <cacheField name="[Measures].[MeasuresLevel]" caption="MeasuresLevel" numFmtId="0" hierarchy="38">
      <sharedItems count="4">
        <s v="[Measures].[Avg_CPUAnTuTu]" c="Avg_CPUAnTuTu"/>
        <s v="[Measures].[Avg_GeekbenchMulti]" c="Avg_GeekbenchMulti"/>
        <s v="[Measures].[Avg_AnTuTuScore]" c="Avg_AnTuTuScore"/>
        <s v="[Measures].[Count of CPU_Clean]" c="Count of CPU_Clean"/>
      </sharedItems>
    </cacheField>
    <cacheField name="[Data_CPU].[company].[company]" caption="company" numFmtId="0" hierarchy="11" level="1">
      <sharedItems count="7">
        <s v="[Data_CPU].[company].&amp;[Qualcomm]" c="Qualcomm"/>
        <s v="[Data_CPU].[company].&amp;[Samsung]" c="Samsung"/>
        <s v="[Data_CPU].[company].&amp;[Unisoc]" c="Unisoc"/>
        <s v="[Data_CPU].[company].&amp;[Google]" c="Google"/>
        <s v="[Data_CPU].[company].&amp;[Apple]" c="Apple"/>
        <s v="[Data_CPU].[company].&amp;[HiSilicon]" c="HiSilicon"/>
        <s v="[Data_CPU].[company].&amp;[MediaTek]" c="MediaTek"/>
      </sharedItems>
    </cacheField>
    <cacheField name="[Data_CPU].[coreCount].[coreCount]" caption="coreCount" numFmtId="0" hierarchy="16" level="1">
      <sharedItems count="4">
        <s v="[Data_CPU].[coreCount].&amp;[4]" c="4"/>
        <s v="[Data_CPU].[coreCount].&amp;[2]" c="2"/>
        <s v="[Data_CPU].[coreCount].&amp;[6]" c="6"/>
        <s v="[Data_CPU].[coreCount].&amp;[8]" c="8"/>
      </sharedItems>
    </cacheField>
  </cacheFields>
  <cacheHierarchies count="50">
    <cacheHierarchy uniqueName="[Data_AnTuTu].[Device]" caption="Device" attribute="1" defaultMemberUniqueName="[Data_AnTuTu].[Device].[All]" allUniqueName="[Data_AnTuTu].[Device].[All]" dimensionUniqueName="[Data_AnTuTu]" displayFolder="" count="2" memberValueDatatype="130" unbalanced="0"/>
    <cacheHierarchy uniqueName="[Data_AnTuTu].[brand]" caption="brand" attribute="1" defaultMemberUniqueName="[Data_AnTuTu].[brand].[All]" allUniqueName="[Data_AnTuTu].[brand].[All]" dimensionUniqueName="[Data_AnTuTu]" displayFolder="" count="2" memberValueDatatype="130" unbalanced="0"/>
    <cacheHierarchy uniqueName="[Data_AnTuTu].[CPU]" caption="CPU" attribute="1" defaultMemberUniqueName="[Data_AnTuTu].[CPU].[All]" allUniqueName="[Data_AnTuTu].[CPU].[All]" dimensionUniqueName="[Data_AnTuTu]" displayFolder="" count="2" memberValueDatatype="20" unbalanced="0"/>
    <cacheHierarchy uniqueName="[Data_AnTuTu].[GPU]" caption="GPU" attribute="1" defaultMemberUniqueName="[Data_AnTuTu].[GPU].[All]" allUniqueName="[Data_AnTuTu].[GPU].[All]" dimensionUniqueName="[Data_AnTuTu]" displayFolder="" count="2" memberValueDatatype="20" unbalanced="0"/>
    <cacheHierarchy uniqueName="[Data_AnTuTu].[MEM]" caption="MEM" attribute="1" defaultMemberUniqueName="[Data_AnTuTu].[MEM].[All]" allUniqueName="[Data_AnTuTu].[MEM].[All]" dimensionUniqueName="[Data_AnTuTu]" displayFolder="" count="2" memberValueDatatype="20" unbalanced="0"/>
    <cacheHierarchy uniqueName="[Data_AnTuTu].[UX]" caption="UX" attribute="1" defaultMemberUniqueName="[Data_AnTuTu].[UX].[All]" allUniqueName="[Data_AnTuTu].[UX].[All]" dimensionUniqueName="[Data_AnTuTu]" displayFolder="" count="2" memberValueDatatype="20" unbalanced="0"/>
    <cacheHierarchy uniqueName="[Data_AnTuTu].[Total Score]" caption="Total Score" attribute="1" defaultMemberUniqueName="[Data_AnTuTu].[Total Score].[All]" allUniqueName="[Data_AnTuTu].[Total Score].[All]" dimensionUniqueName="[Data_AnTuTu]" displayFolder="" count="2" memberValueDatatype="20" unbalanced="0"/>
    <cacheHierarchy uniqueName="[Data_AnTuTu].[Device_Clean]" caption="Device_Clean" attribute="1" defaultMemberUniqueName="[Data_AnTuTu].[Device_Clean].[All]" allUniqueName="[Data_AnTuTu].[Device_Clean].[All]" dimensionUniqueName="[Data_AnTuTu]" displayFolder="" count="2" memberValueDatatype="130" unbalanced="0"/>
    <cacheHierarchy uniqueName="[Data_AnTuTu].[CPU_Name_Bridge]" caption="CPU_Name_Bridge" attribute="1" defaultMemberUniqueName="[Data_AnTuTu].[CPU_Name_Bridge].[All]" allUniqueName="[Data_AnTuTu].[CPU_Name_Bridge].[All]" dimensionUniqueName="[Data_AnTuTu]" displayFolder="" count="2" memberValueDatatype="130" unbalanced="0"/>
    <cacheHierarchy uniqueName="[Data_AnTuTu].[Core_Count_Lookup]" caption="Core_Count_Lookup" attribute="1" defaultMemberUniqueName="[Data_AnTuTu].[Core_Count_Lookup].[All]" allUniqueName="[Data_AnTuTu].[Core_Count_Lookup].[All]" dimensionUniqueName="[Data_AnTuTu]" displayFolder="" count="2" memberValueDatatype="130" unbalanced="0"/>
    <cacheHierarchy uniqueName="[Data_CPU].[rank]" caption="rank" attribute="1" defaultMemberUniqueName="[Data_CPU].[rank].[All]" allUniqueName="[Data_CPU].[rank].[All]" dimensionUniqueName="[Data_CPU]" displayFolder="" count="2" memberValueDatatype="20" unbalanced="0"/>
    <cacheHierarchy uniqueName="[Data_CPU].[company]" caption="company" attribute="1" defaultMemberUniqueName="[Data_CPU].[company].[All]" allUniqueName="[Data_CPU].[company].[All]" allCaption="All" dimensionUniqueName="[Data_CPU]" displayFolder="" count="2" memberValueDatatype="130" unbalanced="0">
      <fieldsUsage count="2">
        <fieldUsage x="-1"/>
        <fieldUsage x="1"/>
      </fieldsUsage>
    </cacheHierarchy>
    <cacheHierarchy uniqueName="[Data_CPU].[cpuName]" caption="cpuName" attribute="1" defaultMemberUniqueName="[Data_CPU].[cpuName].[All]" allUniqueName="[Data_CPU].[cpuName].[All]" dimensionUniqueName="[Data_CPU]" displayFolder="" count="2" memberValueDatatype="130" unbalanced="0"/>
    <cacheHierarchy uniqueName="[Data_CPU].[geekbenchSingle]" caption="geekbenchSingle" attribute="1" defaultMemberUniqueName="[Data_CPU].[geekbenchSingle].[All]" allUniqueName="[Data_CPU].[geekbenchSingle].[All]" dimensionUniqueName="[Data_CPU]" displayFolder="" count="2" memberValueDatatype="20" unbalanced="0"/>
    <cacheHierarchy uniqueName="[Data_CPU].[geekbenchMulti]" caption="geekbenchMulti" attribute="1" defaultMemberUniqueName="[Data_CPU].[geekbenchMulti].[All]" allUniqueName="[Data_CPU].[geekbenchMulti].[All]" dimensionUniqueName="[Data_CPU]" displayFolder="" count="2" memberValueDatatype="20" unbalanced="0"/>
    <cacheHierarchy uniqueName="[Data_CPU].[antutu9]" caption="antutu9" attribute="1" defaultMemberUniqueName="[Data_CPU].[antutu9].[All]" allUniqueName="[Data_CPU].[antutu9].[All]" dimensionUniqueName="[Data_CPU]" displayFolder="" count="2" memberValueDatatype="20" unbalanced="0"/>
    <cacheHierarchy uniqueName="[Data_CPU].[coreCount]" caption="coreCount" attribute="1" defaultMemberUniqueName="[Data_CPU].[coreCount].[All]" allUniqueName="[Data_CPU].[coreCount].[All]" allCaption="All" dimensionUniqueName="[Data_CPU]" displayFolder="" count="2" memberValueDatatype="20" unbalanced="0">
      <fieldsUsage count="2">
        <fieldUsage x="-1"/>
        <fieldUsage x="2"/>
      </fieldsUsage>
    </cacheHierarchy>
    <cacheHierarchy uniqueName="[Data_CPU].[coreConfig]" caption="coreConfig" attribute="1" defaultMemberUniqueName="[Data_CPU].[coreConfig].[All]" allUniqueName="[Data_CPU].[coreConfig].[All]" dimensionUniqueName="[Data_CPU]" displayFolder="" count="2" memberValueDatatype="130" unbalanced="0"/>
    <cacheHierarchy uniqueName="[Data_CPU].[clockSpeed]" caption="clockSpeed" attribute="1" defaultMemberUniqueName="[Data_CPU].[clockSpeed].[All]" allUniqueName="[Data_CPU].[clockSpeed].[All]" dimensionUniqueName="[Data_CPU]" displayFolder="" count="2" memberValueDatatype="20" unbalanced="0"/>
    <cacheHierarchy uniqueName="[Data_CPU].[gpu]" caption="gpu" attribute="1" defaultMemberUniqueName="[Data_CPU].[gpu].[All]" allUniqueName="[Data_CPU].[gpu].[All]" dimensionUniqueName="[Data_CPU]" displayFolder="" count="2" memberValueDatatype="130" unbalanced="0"/>
    <cacheHierarchy uniqueName="[Data_CPU].[release_date]" caption="release_date" attribute="1" time="1" defaultMemberUniqueName="[Data_CPU].[release_date].[All]" allUniqueName="[Data_CPU].[release_date].[All]" dimensionUniqueName="[Data_CPU]" displayFolder="" count="2" memberValueDatatype="7" unbalanced="0"/>
    <cacheHierarchy uniqueName="[Data_CPU].[CPU_Clean]" caption="CPU_Clean" attribute="1" defaultMemberUniqueName="[Data_CPU].[CPU_Clean].[All]" allUniqueName="[Data_CPU].[CPU_Clean].[All]" dimensionUniqueName="[Data_CPU]" displayFolder="" count="2" memberValueDatatype="130" unbalanced="0"/>
    <cacheHierarchy uniqueName="[Data_CPU].[release_year]" caption="release_year" attribute="1" defaultMemberUniqueName="[Data_CPU].[release_year].[All]" allUniqueName="[Data_CPU].[release_year].[All]" dimensionUniqueName="[Data_CPU]" displayFolder="" count="2" memberValueDatatype="20" unbalanced="0"/>
    <cacheHierarchy uniqueName="[Data_CPU].[PerformanceTier]" caption="PerformanceTier" attribute="1" defaultMemberUniqueName="[Data_CPU].[PerformanceTier].[All]" allUniqueName="[Data_CPU].[PerformanceTier].[All]" dimensionUniqueName="[Data_CPU]" displayFolder="" count="2" memberValueDatatype="130" unbalanced="0"/>
    <cacheHierarchy uniqueName="[Data_CPU].[ScorePerGHz]" caption="ScorePerGHz" attribute="1" defaultMemberUniqueName="[Data_CPU].[ScorePerGHz].[All]" allUniqueName="[Data_CPU].[ScorePerGHz].[All]" dimensionUniqueName="[Data_CPU]" displayFolder="" count="2" memberValueDatatype="20" unbalanced="0"/>
    <cacheHierarchy uniqueName="[Data_CPU].[ClockCategory]" caption="ClockCategory" attribute="1" defaultMemberUniqueName="[Data_CPU].[ClockCategory].[All]" allUniqueName="[Data_CPU].[ClockCategory].[All]" dimensionUniqueName="[Data_CPU]" displayFolder="" count="2" memberValueDatatype="130" unbalanced="0"/>
    <cacheHierarchy uniqueName="[Data_CPU].[AnTuTuTier]" caption="AnTuTuTier" attribute="1" defaultMemberUniqueName="[Data_CPU].[AnTuTuTier].[All]" allUniqueName="[Data_CPU].[AnTuTuTier].[All]" dimensionUniqueName="[Data_CPU]" displayFolder="" count="2" memberValueDatatype="130" unbalanced="0"/>
    <cacheHierarchy uniqueName="[Data_ML].[device]" caption="device" attribute="1" defaultMemberUniqueName="[Data_ML].[device].[All]" allUniqueName="[Data_ML].[device].[All]" dimensionUniqueName="[Data_ML]" displayFolder="" count="2" memberValueDatatype="130" unbalanced="0"/>
    <cacheHierarchy uniqueName="[Data_ML].[company]" caption="company" attribute="1" defaultMemberUniqueName="[Data_ML].[company].[All]" allUniqueName="[Data_ML].[company].[All]" dimensionUniqueName="[Data_ML]" displayFolder="" count="2" memberValueDatatype="130" unbalanced="0"/>
    <cacheHierarchy uniqueName="[Data_ML].[cpuName]" caption="cpuName" attribute="1" defaultMemberUniqueName="[Data_ML].[cpuName].[All]" allUniqueName="[Data_ML].[cpuName].[All]" dimensionUniqueName="[Data_ML]" displayFolder="" count="2" memberValueDatatype="130" unbalanced="0"/>
    <cacheHierarchy uniqueName="[Data_ML].[cores]" caption="cores" attribute="1" defaultMemberUniqueName="[Data_ML].[cores].[All]" allUniqueName="[Data_ML].[cores].[All]" dimensionUniqueName="[Data_ML]" displayFolder="" count="2" memberValueDatatype="20" unbalanced="0"/>
    <cacheHierarchy uniqueName="[Data_ML].[clock]" caption="clock" attribute="1" defaultMemberUniqueName="[Data_ML].[clock].[All]" allUniqueName="[Data_ML].[clock].[All]" dimensionUniqueName="[Data_ML]" displayFolder="" count="2" memberValueDatatype="20" unbalanced="0"/>
    <cacheHierarchy uniqueName="[Data_ML].[cpuScore]" caption="cpuScore" attribute="1" defaultMemberUniqueName="[Data_ML].[cpuScore].[All]" allUniqueName="[Data_ML].[cpuScore].[All]" dimensionUniqueName="[Data_ML]" displayFolder="" count="2" memberValueDatatype="20" unbalanced="0"/>
    <cacheHierarchy uniqueName="[Data_ML].[gpuScore]" caption="gpuScore" attribute="1" defaultMemberUniqueName="[Data_ML].[gpuScore].[All]" allUniqueName="[Data_ML].[gpuScore].[All]" dimensionUniqueName="[Data_ML]" displayFolder="" count="2" memberValueDatatype="20" unbalanced="0"/>
    <cacheHierarchy uniqueName="[Data_ML].[npuScore]" caption="npuScore" attribute="1" defaultMemberUniqueName="[Data_ML].[npuScore].[All]" allUniqueName="[Data_ML].[npuScore].[All]" dimensionUniqueName="[Data_ML]" displayFolder="" count="2" memberValueDatatype="20" unbalanced="0"/>
    <cacheHierarchy uniqueName="[Data_ML].[release_date]" caption="release_date" attribute="1" time="1" defaultMemberUniqueName="[Data_ML].[release_date].[All]" allUniqueName="[Data_ML].[release_date].[All]" dimensionUniqueName="[Data_ML]" displayFolder="" count="2" memberValueDatatype="7" unbalanced="0"/>
    <cacheHierarchy uniqueName="[Data_ML].[CPU_Clean]" caption="CPU_Clean" attribute="1" defaultMemberUniqueName="[Data_ML].[CPU_Clean].[All]" allUniqueName="[Data_ML].[CPU_Clean].[All]" dimensionUniqueName="[Data_ML]" displayFolder="" count="2" memberValueDatatype="130" unbalanced="0"/>
    <cacheHierarchy uniqueName="[Data_ML].[release_year]" caption="release_year" attribute="1" defaultMemberUniqueName="[Data_ML].[release_year].[All]" allUniqueName="[Data_ML].[release_year].[All]" dimensionUniqueName="[Data_ML]" displayFolder="" count="2" memberValueDatatype="20" unbalanced="0"/>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Measures].[Sum of geekbenchMulti]" caption="Sum of geekbenchMulti" measure="1" displayFolder="" measureGroup="Data_CPU" count="0">
      <extLst>
        <ext xmlns:x15="http://schemas.microsoft.com/office/spreadsheetml/2010/11/main" uri="{B97F6D7D-B522-45F9-BDA1-12C45D357490}">
          <x15:cacheHierarchy aggregatedColumn="14"/>
        </ext>
      </extLst>
    </cacheHierarchy>
    <cacheHierarchy uniqueName="[Measures].[Average of geekbenchMulti]" caption="Average of geekbenchMulti" measure="1" displayFolder="" measureGroup="Data_CPU" count="0">
      <extLst>
        <ext xmlns:x15="http://schemas.microsoft.com/office/spreadsheetml/2010/11/main" uri="{B97F6D7D-B522-45F9-BDA1-12C45D357490}">
          <x15:cacheHierarchy aggregatedColumn="14"/>
        </ext>
      </extLst>
    </cacheHierarchy>
    <cacheHierarchy uniqueName="[Measures].[Sum of geekbenchSingle]" caption="Sum of geekbenchSingle" measure="1" displayFolder="" measureGroup="Data_CPU" count="0">
      <extLst>
        <ext xmlns:x15="http://schemas.microsoft.com/office/spreadsheetml/2010/11/main" uri="{B97F6D7D-B522-45F9-BDA1-12C45D357490}">
          <x15:cacheHierarchy aggregatedColumn="13"/>
        </ext>
      </extLst>
    </cacheHierarchy>
    <cacheHierarchy uniqueName="[Measures].[Count of CPU_Clean]" caption="Count of CPU_Clean" measure="1" displayFolder="" measureGroup="Data_CPU" count="0">
      <extLst>
        <ext xmlns:x15="http://schemas.microsoft.com/office/spreadsheetml/2010/11/main" uri="{B97F6D7D-B522-45F9-BDA1-12C45D357490}">
          <x15:cacheHierarchy aggregatedColumn="21"/>
        </ext>
      </extLst>
    </cacheHierarchy>
    <cacheHierarchy uniqueName="[Measures].[Avg_GeekbenchMulti]" caption="Avg_GeekbenchMulti" measure="1" displayFolder="" measureGroup="Data_CPU" count="0"/>
    <cacheHierarchy uniqueName="[Measures].[Avg_AnTuTuScore]" caption="Avg_AnTuTuScore" measure="1" displayFolder="" measureGroup="Data_AnTuTu" count="0"/>
    <cacheHierarchy uniqueName="[Measures].[Avg_CPUAnTuTu]" caption="Avg_CPUAnTuTu" measure="1" displayFolder="" measureGroup="Data_CPU" count="0"/>
    <cacheHierarchy uniqueName="[Measures].[__XL_Count Data_CPU]" caption="__XL_Count Data_CPU" measure="1" displayFolder="" measureGroup="Data_CPU" count="0" hidden="1"/>
    <cacheHierarchy uniqueName="[Measures].[__XL_Count Data_ML]" caption="__XL_Count Data_ML" measure="1" displayFolder="" measureGroup="Data_ML" count="0" hidden="1"/>
    <cacheHierarchy uniqueName="[Measures].[__XL_Count Data_AnTuTu]" caption="__XL_Count Data_AnTuTu" measure="1" displayFolder="" measureGroup="Data_AnTuTu" count="0" hidden="1"/>
    <cacheHierarchy uniqueName="[Measures].[__No measures defined]" caption="__No measures defined" measure="1" displayFolder="" count="0" hidden="1"/>
  </cacheHierarchies>
  <kpis count="0"/>
  <tupleCache>
    <entries count="64">
      <n v="386756.02380952379" in="0">
        <tpls c="2">
          <tpl fld="1" item="0"/>
          <tpl fld="0" item="0"/>
        </tpls>
      </n>
      <n v="357128.61904761905" in="0">
        <tpls c="2">
          <tpl fld="1" item="1"/>
          <tpl fld="0" item="0"/>
        </tpls>
      </n>
      <n v="371959.92800000001" in="0">
        <tpls c="2">
          <tpl hier="11" item="4294967295"/>
          <tpl fld="0" item="0"/>
        </tpls>
      </n>
      <n v="2838.8571428571427" in="0">
        <tpls c="2">
          <tpl fld="1" item="4"/>
          <tpl fld="0" item="1"/>
        </tpls>
      </n>
      <n v="212928.6" in="0">
        <tpls c="2">
          <tpl fld="1" item="2"/>
          <tpl fld="0" item="0"/>
        </tpls>
      </n>
      <n v="1936.56" in="0">
        <tpls c="1">
          <tpl fld="0" item="1"/>
        </tpls>
      </n>
      <n v="505852.14285714284" in="0">
        <tpls c="2">
          <tpl fld="1" item="4"/>
          <tpl fld="0" item="0"/>
        </tpls>
      </n>
      <n v="608736.54748603352" in="0">
        <tpls c="1">
          <tpl fld="0" item="2"/>
        </tpls>
      </n>
      <n v="350337.18181818182" in="0">
        <tpls c="2">
          <tpl fld="1" item="6"/>
          <tpl fld="0" item="0"/>
        </tpls>
      </n>
      <n v="2049.4375" in="0">
        <tpls c="2">
          <tpl fld="1" item="5"/>
          <tpl fld="0" item="1"/>
        </tpls>
      </n>
      <n v="1833.909090909091" in="0">
        <tpls c="2">
          <tpl fld="1" item="6"/>
          <tpl fld="0" item="1"/>
        </tpls>
      </n>
      <n v="366704.6875" in="0">
        <tpls c="2">
          <tpl fld="1" item="5"/>
          <tpl fld="0" item="0"/>
        </tpls>
      </n>
      <n v="2845" in="0">
        <tpls c="2">
          <tpl fld="1" item="3"/>
          <tpl fld="0" item="1"/>
        </tpls>
      </n>
      <n v="717527" in="0">
        <tpls c="2">
          <tpl fld="1" item="3"/>
          <tpl fld="0" item="0"/>
        </tpls>
      </n>
      <n v="1967.7619047619048" in="0">
        <tpls c="2">
          <tpl fld="1" item="0"/>
          <tpl fld="0" item="1"/>
        </tpls>
      </n>
      <n v="1757.4285714285713" in="0">
        <tpls c="2">
          <tpl fld="1" item="1"/>
          <tpl fld="0" item="1"/>
        </tpls>
      </n>
      <n v="1936.56" in="0">
        <tpls c="2">
          <tpl hier="11" item="4294967295"/>
          <tpl fld="0" item="1"/>
        </tpls>
      </n>
      <n v="1298.2" in="0">
        <tpls c="2">
          <tpl fld="1" item="2"/>
          <tpl fld="0" item="1"/>
        </tpls>
      </n>
      <n v="125">
        <tpls c="1">
          <tpl fld="0" item="3"/>
        </tpls>
      </n>
      <n v="125">
        <tpls c="3">
          <tpl hier="11" item="0"/>
          <tpl hier="16" item="1"/>
          <tpl fld="0" item="3"/>
        </tpls>
      </n>
      <n v="608736.54748603352" in="0">
        <tpls c="3">
          <tpl hier="11" item="0"/>
          <tpl hier="16" item="1"/>
          <tpl fld="0" item="2"/>
        </tpls>
      </n>
      <n v="1936.56" in="0">
        <tpls c="3">
          <tpl hier="11" item="0"/>
          <tpl hier="16" item="1"/>
          <tpl fld="0" item="1"/>
        </tpls>
      </n>
      <n v="2838.8571428571427" in="0">
        <tpls c="3">
          <tpl hier="11" item="2"/>
          <tpl hier="16" item="1"/>
          <tpl fld="0" item="1"/>
        </tpls>
      </n>
      <n v="647562" in="0">
        <tpls c="3">
          <tpl hier="11" item="2"/>
          <tpl hier="16" item="1"/>
          <tpl fld="0" item="2"/>
        </tpls>
      </n>
      <n v="7">
        <tpls c="3">
          <tpl hier="11" item="2"/>
          <tpl hier="16" item="1"/>
          <tpl fld="0" item="3"/>
        </tpls>
      </n>
      <n v="2845" in="0">
        <tpls c="3">
          <tpl hier="11" item="3"/>
          <tpl hier="16" item="1"/>
          <tpl fld="0" item="1"/>
        </tpls>
      </n>
      <n v="725751.5" in="0">
        <tpls c="3">
          <tpl hier="11" item="3"/>
          <tpl hier="16" item="1"/>
          <tpl fld="0" item="2"/>
        </tpls>
      </n>
      <n v="1">
        <tpls c="3">
          <tpl hier="11" item="3"/>
          <tpl hier="16" item="1"/>
          <tpl fld="0" item="3"/>
        </tpls>
      </n>
      <n v="1833.909090909091" in="0">
        <tpls c="3">
          <tpl hier="11" item="4"/>
          <tpl hier="16" item="1"/>
          <tpl fld="0" item="1"/>
        </tpls>
      </n>
      <n v="463994.9" in="0">
        <tpls c="3">
          <tpl hier="11" item="4"/>
          <tpl hier="16" item="1"/>
          <tpl fld="0" item="2"/>
        </tpls>
      </n>
      <n v="33">
        <tpls c="3">
          <tpl hier="11" item="4"/>
          <tpl hier="16" item="1"/>
          <tpl fld="0" item="3"/>
        </tpls>
      </n>
      <n v="1757.4285714285713" in="0">
        <tpls c="3">
          <tpl hier="11" item="5"/>
          <tpl hier="16" item="1"/>
          <tpl fld="0" item="1"/>
        </tpls>
      </n>
      <n v="536729.60869565222" in="0">
        <tpls c="3">
          <tpl hier="11" item="5"/>
          <tpl hier="16" item="1"/>
          <tpl fld="0" item="2"/>
        </tpls>
      </n>
      <n v="21">
        <tpls c="3">
          <tpl hier="11" item="5"/>
          <tpl hier="16" item="1"/>
          <tpl fld="0" item="3"/>
        </tpls>
      </n>
      <n v="1298.2" in="0">
        <tpls c="3">
          <tpl hier="11" item="6"/>
          <tpl hier="16" item="1"/>
          <tpl fld="0" item="1"/>
        </tpls>
      </n>
      <m in="0">
        <tpls c="3">
          <tpl hier="11" item="6"/>
          <tpl hier="16" item="1"/>
          <tpl fld="0" item="2"/>
        </tpls>
      </m>
      <n v="5">
        <tpls c="3">
          <tpl hier="11" item="6"/>
          <tpl hier="16" item="1"/>
          <tpl fld="0" item="3"/>
        </tpls>
      </n>
      <n v="1967.7619047619048" in="0">
        <tpls c="3">
          <tpl hier="11" item="7"/>
          <tpl hier="16" item="1"/>
          <tpl fld="0" item="1"/>
        </tpls>
      </n>
      <n v="625157.31034482759" in="0">
        <tpls c="3">
          <tpl hier="11" item="7"/>
          <tpl hier="16" item="1"/>
          <tpl fld="0" item="2"/>
        </tpls>
      </n>
      <n v="42">
        <tpls c="3">
          <tpl hier="11" item="7"/>
          <tpl hier="16" item="1"/>
          <tpl fld="0" item="3"/>
        </tpls>
      </n>
      <n v="2049.4375" in="0">
        <tpls c="3">
          <tpl hier="11" item="8"/>
          <tpl hier="16" item="1"/>
          <tpl fld="0" item="1"/>
        </tpls>
      </n>
      <n v="501640.77777777775" in="0">
        <tpls c="3">
          <tpl hier="11" item="8"/>
          <tpl hier="16" item="1"/>
          <tpl fld="0" item="2"/>
        </tpls>
      </n>
      <n v="16">
        <tpls c="3">
          <tpl hier="11" item="8"/>
          <tpl hier="16" item="1"/>
          <tpl fld="0" item="3"/>
        </tpls>
      </n>
      <n v="979.33333333333337" in="0">
        <tpls c="3">
          <tpl hier="11" item="0"/>
          <tpl hier="16" item="9"/>
          <tpl fld="0" item="1"/>
        </tpls>
      </n>
      <n v="365878.33333333331" in="0">
        <tpls c="3">
          <tpl hier="11" item="0"/>
          <tpl hier="16" item="9"/>
          <tpl fld="0" item="2"/>
        </tpls>
      </n>
      <n v="3">
        <tpls c="3">
          <tpl hier="11" item="0"/>
          <tpl hier="16" item="9"/>
          <tpl fld="0" item="3"/>
        </tpls>
      </n>
      <n v="770.5" in="0">
        <tpls c="3">
          <tpl hier="11" item="7"/>
          <tpl hier="16" item="9"/>
          <tpl fld="0" item="1"/>
        </tpls>
      </n>
      <m in="0">
        <tpls c="3">
          <tpl hier="11" item="7"/>
          <tpl hier="16" item="9"/>
          <tpl fld="0" item="2"/>
        </tpls>
      </m>
      <n v="2">
        <tpls c="3">
          <tpl hier="11" item="7"/>
          <tpl hier="16" item="9"/>
          <tpl fld="0" item="3"/>
        </tpls>
      </n>
      <n v="968" in="0">
        <tpls c="3">
          <tpl hier="11" item="0"/>
          <tpl hier="16" item="10"/>
          <tpl fld="0" item="1"/>
        </tpls>
      </n>
      <n v="268606" in="0">
        <tpls c="3">
          <tpl hier="11" item="0"/>
          <tpl hier="16" item="10"/>
          <tpl fld="0" item="2"/>
        </tpls>
      </n>
      <n v="1">
        <tpls c="3">
          <tpl hier="11" item="0"/>
          <tpl hier="16" item="10"/>
          <tpl fld="0" item="3"/>
        </tpls>
      </n>
      <n v="1">
        <tpls c="3">
          <tpl hier="11" item="5"/>
          <tpl hier="16" item="11"/>
          <tpl fld="0" item="3"/>
        </tpls>
      </n>
      <m in="0">
        <tpls c="3">
          <tpl hier="11" item="5"/>
          <tpl hier="16" item="11"/>
          <tpl fld="0" item="2"/>
        </tpls>
      </m>
      <n v="770" in="0">
        <tpls c="3">
          <tpl hier="11" item="5"/>
          <tpl hier="16" item="11"/>
          <tpl fld="0" item="1"/>
        </tpls>
      </n>
      <n v="20">
        <tpls c="3">
          <tpl hier="11" item="5"/>
          <tpl hier="16" item="12"/>
          <tpl fld="0" item="3"/>
        </tpls>
      </n>
      <n v="536729.60869565222" in="0">
        <tpls c="3">
          <tpl hier="11" item="5"/>
          <tpl hier="16" item="12"/>
          <tpl fld="0" item="2"/>
        </tpls>
      </n>
      <n v="1806.8" in="0">
        <tpls c="3">
          <tpl hier="11" item="5"/>
          <tpl hier="16" item="12"/>
          <tpl fld="0" item="1"/>
        </tpls>
      </n>
      <n v="1">
        <tpls c="3">
          <tpl hier="11" item="3"/>
          <tpl hier="16" item="12"/>
          <tpl fld="0" item="3"/>
        </tpls>
      </n>
      <n v="725751.5" in="0">
        <tpls c="3">
          <tpl hier="11" item="3"/>
          <tpl hier="16" item="12"/>
          <tpl fld="0" item="2"/>
        </tpls>
      </n>
      <n v="2845" in="0">
        <tpls c="3">
          <tpl hier="11" item="3"/>
          <tpl hier="16" item="12"/>
          <tpl fld="0" item="1"/>
        </tpls>
      </n>
      <n v="115">
        <tpls c="3">
          <tpl hier="11" item="0"/>
          <tpl hier="16" item="12"/>
          <tpl fld="0" item="3"/>
        </tpls>
      </n>
      <n v="581415.85106382973" in="0">
        <tpls c="3">
          <tpl hier="11" item="0"/>
          <tpl hier="16" item="12"/>
          <tpl fld="0" item="2"/>
        </tpls>
      </n>
      <n v="1912.0608695652174" in="0">
        <tpls c="3">
          <tpl hier="11" item="0"/>
          <tpl hier="16" item="12"/>
          <tpl fld="0" item="1"/>
        </tpls>
      </n>
    </entries>
    <sets count="13">
      <set count="1" maxRank="1" setDefinition="{[Data_CPU].[company].[All]}">
        <tpls c="1">
          <tpl hier="11" item="4294967295"/>
        </tpls>
      </set>
      <set count="1" maxRank="1" setDefinition="{[Data_CPU].[coreCount].[All]}">
        <tpls c="1">
          <tpl hier="16" item="4294967295"/>
        </tpls>
      </set>
      <set count="1" maxRank="1" setDefinition="{[Data_CPU].[company].&amp;[Apple]}">
        <tpls c="1">
          <tpl fld="1" item="4"/>
        </tpls>
      </set>
      <set count="1" maxRank="1" setDefinition="{[Data_CPU].[company].&amp;[Google]}">
        <tpls c="1">
          <tpl fld="1" item="3"/>
        </tpls>
      </set>
      <set count="1" maxRank="1" setDefinition="{[Data_CPU].[company].&amp;[MediaTek]}">
        <tpls c="1">
          <tpl fld="1" item="6"/>
        </tpls>
      </set>
      <set count="1" maxRank="1" setDefinition="{[Data_CPU].[company].&amp;[Samsung]}">
        <tpls c="1">
          <tpl fld="1" item="1"/>
        </tpls>
      </set>
      <set count="1" maxRank="1" setDefinition="{[Data_CPU].[company].&amp;[Unisoc]}">
        <tpls c="1">
          <tpl fld="1" item="2"/>
        </tpls>
      </set>
      <set count="1" maxRank="1" setDefinition="{[Data_CPU].[company].&amp;[Qualcomm]}">
        <tpls c="1">
          <tpl fld="1" item="0"/>
        </tpls>
      </set>
      <set count="1" maxRank="1" setDefinition="{[Data_CPU].[company].&amp;[HiSilicon]}">
        <tpls c="1">
          <tpl fld="1" item="5"/>
        </tpls>
      </set>
      <set count="1" maxRank="1" setDefinition="{[Data_CPU].[coreCount].&amp;[4]}">
        <tpls c="1">
          <tpl fld="2" item="0"/>
        </tpls>
      </set>
      <set count="1" maxRank="1" setDefinition="{[Data_CPU].[coreCount].&amp;[2]}">
        <tpls c="1">
          <tpl fld="2" item="1"/>
        </tpls>
      </set>
      <set count="1" maxRank="1" setDefinition="{[Data_CPU].[coreCount].&amp;[6]}">
        <tpls c="1">
          <tpl fld="2" item="2"/>
        </tpls>
      </set>
      <set count="1" maxRank="1" setDefinition="{[Data_CPU].[coreCount].&amp;[8]}">
        <tpls c="1">
          <tpl fld="2" item="3"/>
        </tpls>
      </set>
    </sets>
    <queryCache count="12">
      <query mdx="[Measures].[Avg_CPUAnTuTu]">
        <tpls c="1">
          <tpl fld="0" item="0"/>
        </tpls>
      </query>
      <query mdx="[Data_CPU].[company].&amp;[Qualcomm]">
        <tpls c="1">
          <tpl fld="1" item="0"/>
        </tpls>
      </query>
      <query mdx="[Data_CPU].[company].&amp;[Samsung]">
        <tpls c="1">
          <tpl fld="1" item="1"/>
        </tpls>
      </query>
      <query mdx="[Data_CPU].[company].[All]">
        <tpls c="1">
          <tpl hier="11" item="4294967295"/>
        </tpls>
      </query>
      <query mdx="[Data_CPU].[company].&amp;[Unisoc]">
        <tpls c="1">
          <tpl fld="1" item="2"/>
        </tpls>
      </query>
      <query mdx="[Measures].[Avg_GeekbenchMulti]">
        <tpls c="1">
          <tpl fld="0" item="1"/>
        </tpls>
      </query>
      <query mdx="[Data_CPU].[company].&amp;[Google]">
        <tpls c="1">
          <tpl fld="1" item="3"/>
        </tpls>
      </query>
      <query mdx="[Data_CPU].[company].&amp;[Apple]">
        <tpls c="1">
          <tpl fld="1" item="4"/>
        </tpls>
      </query>
      <query mdx="[Data_CPU].[company].&amp;[HiSilicon]">
        <tpls c="1">
          <tpl fld="1" item="5"/>
        </tpls>
      </query>
      <query mdx="[Data_CPU].[company].&amp;[MediaTek]">
        <tpls c="1">
          <tpl fld="1" item="6"/>
        </tpls>
      </query>
      <query mdx="[Measures].[Avg_AnTuTuScore]">
        <tpls c="1">
          <tpl fld="0" item="2"/>
        </tpls>
      </query>
      <query mdx="[Measures].[Count of CPU_Clean]">
        <tpls c="1">
          <tpl fld="0" item="3"/>
        </tpls>
      </query>
    </queryCache>
    <serverFormats count="1">
      <serverFormat format=""/>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ger Nathanael" refreshedDate="46178.951513078704" backgroundQuery="1" createdVersion="8" refreshedVersion="8" minRefreshableVersion="3" recordCount="0" supportSubquery="1" supportAdvancedDrill="1" xr:uid="{9A7E095A-DC29-4966-9601-582BA80F5C38}">
  <cacheSource type="external" connectionId="4"/>
  <cacheFields count="3">
    <cacheField name="[Data_CPU].[release_year].[release_year]" caption="release_year" numFmtId="0" hierarchy="22" level="1">
      <sharedItems containsSemiMixedTypes="0" containsString="0" containsNumber="1" containsInteger="1" minValue="2015" maxValue="2022" count="8">
        <n v="2015"/>
        <n v="2016"/>
        <n v="2017"/>
        <n v="2018"/>
        <n v="2019"/>
        <n v="2020"/>
        <n v="2021" u="1"/>
        <n v="2022" u="1"/>
      </sharedItems>
      <extLst>
        <ext xmlns:x15="http://schemas.microsoft.com/office/spreadsheetml/2010/11/main" uri="{4F2E5C28-24EA-4eb8-9CBF-B6C8F9C3D259}">
          <x15:cachedUniqueNames>
            <x15:cachedUniqueName index="0" name="[Data_CPU].[release_year].&amp;[2015]"/>
            <x15:cachedUniqueName index="1" name="[Data_CPU].[release_year].&amp;[2016]"/>
            <x15:cachedUniqueName index="2" name="[Data_CPU].[release_year].&amp;[2017]"/>
            <x15:cachedUniqueName index="3" name="[Data_CPU].[release_year].&amp;[2018]"/>
            <x15:cachedUniqueName index="4" name="[Data_CPU].[release_year].&amp;[2019]"/>
            <x15:cachedUniqueName index="5" name="[Data_CPU].[release_year].&amp;[2020]"/>
            <x15:cachedUniqueName index="6" name="[Data_CPU].[release_year].&amp;[2021]"/>
            <x15:cachedUniqueName index="7" name="[Data_CPU].[release_year].&amp;[2022]"/>
          </x15:cachedUniqueNames>
        </ext>
      </extLst>
    </cacheField>
    <cacheField name="[Measures].[Average of geekbenchMulti]" caption="Average of geekbenchMulti" numFmtId="0" hierarchy="39" level="32767"/>
    <cacheField name="[Data_CPU].[company].[company]" caption="company" numFmtId="0" hierarchy="11" level="1">
      <sharedItems containsSemiMixedTypes="0" containsNonDate="0" containsString="0"/>
    </cacheField>
  </cacheFields>
  <cacheHierarchies count="49">
    <cacheHierarchy uniqueName="[Data_AnTuTu].[Device]" caption="Device" attribute="1" defaultMemberUniqueName="[Data_AnTuTu].[Device].[All]" allUniqueName="[Data_AnTuTu].[Device].[All]" dimensionUniqueName="[Data_AnTuTu]" displayFolder="" count="0" memberValueDatatype="130" unbalanced="0"/>
    <cacheHierarchy uniqueName="[Data_AnTuTu].[brand]" caption="brand" attribute="1" defaultMemberUniqueName="[Data_AnTuTu].[brand].[All]" allUniqueName="[Data_AnTuTu].[brand].[All]" dimensionUniqueName="[Data_AnTuTu]" displayFolder="" count="0" memberValueDatatype="130" unbalanced="0"/>
    <cacheHierarchy uniqueName="[Data_AnTuTu].[CPU]" caption="CPU" attribute="1" defaultMemberUniqueName="[Data_AnTuTu].[CPU].[All]" allUniqueName="[Data_AnTuTu].[CPU].[All]" dimensionUniqueName="[Data_AnTuTu]" displayFolder="" count="0" memberValueDatatype="20" unbalanced="0"/>
    <cacheHierarchy uniqueName="[Data_AnTuTu].[GPU]" caption="GPU" attribute="1" defaultMemberUniqueName="[Data_AnTuTu].[GPU].[All]" allUniqueName="[Data_AnTuTu].[GPU].[All]" dimensionUniqueName="[Data_AnTuTu]" displayFolder="" count="0" memberValueDatatype="20" unbalanced="0"/>
    <cacheHierarchy uniqueName="[Data_AnTuTu].[MEM]" caption="MEM" attribute="1" defaultMemberUniqueName="[Data_AnTuTu].[MEM].[All]" allUniqueName="[Data_AnTuTu].[MEM].[All]" dimensionUniqueName="[Data_AnTuTu]" displayFolder="" count="0" memberValueDatatype="20" unbalanced="0"/>
    <cacheHierarchy uniqueName="[Data_AnTuTu].[UX]" caption="UX" attribute="1" defaultMemberUniqueName="[Data_AnTuTu].[UX].[All]" allUniqueName="[Data_AnTuTu].[UX].[All]" dimensionUniqueName="[Data_AnTuTu]" displayFolder="" count="0" memberValueDatatype="20" unbalanced="0"/>
    <cacheHierarchy uniqueName="[Data_AnTuTu].[Total Score]" caption="Total Score" attribute="1" defaultMemberUniqueName="[Data_AnTuTu].[Total Score].[All]" allUniqueName="[Data_AnTuTu].[Total Score].[All]" dimensionUniqueName="[Data_AnTuTu]" displayFolder="" count="0" memberValueDatatype="20" unbalanced="0"/>
    <cacheHierarchy uniqueName="[Data_AnTuTu].[Device_Clean]" caption="Device_Clean" attribute="1" defaultMemberUniqueName="[Data_AnTuTu].[Device_Clean].[All]" allUniqueName="[Data_AnTuTu].[Device_Clean].[All]" dimensionUniqueName="[Data_AnTuTu]" displayFolder="" count="0" memberValueDatatype="130" unbalanced="0"/>
    <cacheHierarchy uniqueName="[Data_AnTuTu].[CPU_Name_Bridge]" caption="CPU_Name_Bridge" attribute="1" defaultMemberUniqueName="[Data_AnTuTu].[CPU_Name_Bridge].[All]" allUniqueName="[Data_AnTuTu].[CPU_Name_Bridge].[All]" dimensionUniqueName="[Data_AnTuTu]" displayFolder="" count="0" memberValueDatatype="130" unbalanced="0"/>
    <cacheHierarchy uniqueName="[Data_AnTuTu].[Core_Count_Lookup]" caption="Core_Count_Lookup" attribute="1" defaultMemberUniqueName="[Data_AnTuTu].[Core_Count_Lookup].[All]" allUniqueName="[Data_AnTuTu].[Core_Count_Lookup].[All]" dimensionUniqueName="[Data_AnTuTu]" displayFolder="" count="0" memberValueDatatype="130" unbalanced="0"/>
    <cacheHierarchy uniqueName="[Data_CPU].[rank]" caption="rank" attribute="1" defaultMemberUniqueName="[Data_CPU].[rank].[All]" allUniqueName="[Data_CPU].[rank].[All]" dimensionUniqueName="[Data_CPU]" displayFolder="" count="0" memberValueDatatype="20" unbalanced="0"/>
    <cacheHierarchy uniqueName="[Data_CPU].[company]" caption="company" attribute="1" defaultMemberUniqueName="[Data_CPU].[company].[All]" allUniqueName="[Data_CPU].[company].[All]" dimensionUniqueName="[Data_CPU]" displayFolder="" count="2" memberValueDatatype="130" unbalanced="0">
      <fieldsUsage count="2">
        <fieldUsage x="-1"/>
        <fieldUsage x="2"/>
      </fieldsUsage>
    </cacheHierarchy>
    <cacheHierarchy uniqueName="[Data_CPU].[cpuName]" caption="cpuName" attribute="1" defaultMemberUniqueName="[Data_CPU].[cpuName].[All]" allUniqueName="[Data_CPU].[cpuName].[All]" dimensionUniqueName="[Data_CPU]" displayFolder="" count="0" memberValueDatatype="130" unbalanced="0"/>
    <cacheHierarchy uniqueName="[Data_CPU].[geekbenchSingle]" caption="geekbenchSingle" attribute="1" defaultMemberUniqueName="[Data_CPU].[geekbenchSingle].[All]" allUniqueName="[Data_CPU].[geekbenchSingle].[All]" dimensionUniqueName="[Data_CPU]" displayFolder="" count="0" memberValueDatatype="20" unbalanced="0"/>
    <cacheHierarchy uniqueName="[Data_CPU].[geekbenchMulti]" caption="geekbenchMulti" attribute="1" defaultMemberUniqueName="[Data_CPU].[geekbenchMulti].[All]" allUniqueName="[Data_CPU].[geekbenchMulti].[All]" dimensionUniqueName="[Data_CPU]" displayFolder="" count="0" memberValueDatatype="20" unbalanced="0"/>
    <cacheHierarchy uniqueName="[Data_CPU].[antutu9]" caption="antutu9" attribute="1" defaultMemberUniqueName="[Data_CPU].[antutu9].[All]" allUniqueName="[Data_CPU].[antutu9].[All]" dimensionUniqueName="[Data_CPU]" displayFolder="" count="0" memberValueDatatype="20" unbalanced="0"/>
    <cacheHierarchy uniqueName="[Data_CPU].[coreCount]" caption="coreCount" attribute="1" defaultMemberUniqueName="[Data_CPU].[coreCount].[All]" allUniqueName="[Data_CPU].[coreCount].[All]" dimensionUniqueName="[Data_CPU]" displayFolder="" count="2" memberValueDatatype="20" unbalanced="0"/>
    <cacheHierarchy uniqueName="[Data_CPU].[coreConfig]" caption="coreConfig" attribute="1" defaultMemberUniqueName="[Data_CPU].[coreConfig].[All]" allUniqueName="[Data_CPU].[coreConfig].[All]" dimensionUniqueName="[Data_CPU]" displayFolder="" count="0" memberValueDatatype="130" unbalanced="0"/>
    <cacheHierarchy uniqueName="[Data_CPU].[clockSpeed]" caption="clockSpeed" attribute="1" defaultMemberUniqueName="[Data_CPU].[clockSpeed].[All]" allUniqueName="[Data_CPU].[clockSpeed].[All]" dimensionUniqueName="[Data_CPU]" displayFolder="" count="0" memberValueDatatype="20" unbalanced="0"/>
    <cacheHierarchy uniqueName="[Data_CPU].[gpu]" caption="gpu" attribute="1" defaultMemberUniqueName="[Data_CPU].[gpu].[All]" allUniqueName="[Data_CPU].[gpu].[All]" dimensionUniqueName="[Data_CPU]" displayFolder="" count="0" memberValueDatatype="130" unbalanced="0"/>
    <cacheHierarchy uniqueName="[Data_CPU].[release_date]" caption="release_date" attribute="1" time="1" defaultMemberUniqueName="[Data_CPU].[release_date].[All]" allUniqueName="[Data_CPU].[release_date].[All]" dimensionUniqueName="[Data_CPU]" displayFolder="" count="0" memberValueDatatype="7" unbalanced="0"/>
    <cacheHierarchy uniqueName="[Data_CPU].[CPU_Clean]" caption="CPU_Clean" attribute="1" defaultMemberUniqueName="[Data_CPU].[CPU_Clean].[All]" allUniqueName="[Data_CPU].[CPU_Clean].[All]" dimensionUniqueName="[Data_CPU]" displayFolder="" count="0" memberValueDatatype="130" unbalanced="0"/>
    <cacheHierarchy uniqueName="[Data_CPU].[release_year]" caption="release_year" attribute="1" defaultMemberUniqueName="[Data_CPU].[release_year].[All]" allUniqueName="[Data_CPU].[release_year].[All]" dimensionUniqueName="[Data_CPU]" displayFolder="" count="2" memberValueDatatype="20" unbalanced="0">
      <fieldsUsage count="2">
        <fieldUsage x="-1"/>
        <fieldUsage x="0"/>
      </fieldsUsage>
    </cacheHierarchy>
    <cacheHierarchy uniqueName="[Data_CPU].[PerformanceTier]" caption="PerformanceTier" attribute="1" defaultMemberUniqueName="[Data_CPU].[PerformanceTier].[All]" allUniqueName="[Data_CPU].[PerformanceTier].[All]" dimensionUniqueName="[Data_CPU]" displayFolder="" count="0" memberValueDatatype="130" unbalanced="0"/>
    <cacheHierarchy uniqueName="[Data_CPU].[ScorePerGHz]" caption="ScorePerGHz" attribute="1" defaultMemberUniqueName="[Data_CPU].[ScorePerGHz].[All]" allUniqueName="[Data_CPU].[ScorePerGHz].[All]" dimensionUniqueName="[Data_CPU]" displayFolder="" count="0" memberValueDatatype="20" unbalanced="0"/>
    <cacheHierarchy uniqueName="[Data_CPU].[ClockCategory]" caption="ClockCategory" attribute="1" defaultMemberUniqueName="[Data_CPU].[ClockCategory].[All]" allUniqueName="[Data_CPU].[ClockCategory].[All]" dimensionUniqueName="[Data_CPU]" displayFolder="" count="0" memberValueDatatype="130" unbalanced="0"/>
    <cacheHierarchy uniqueName="[Data_CPU].[AnTuTuTier]" caption="AnTuTuTier" attribute="1" defaultMemberUniqueName="[Data_CPU].[AnTuTuTier].[All]" allUniqueName="[Data_CPU].[AnTuTuTier].[All]" dimensionUniqueName="[Data_CPU]" displayFolder="" count="0" memberValueDatatype="130" unbalanced="0"/>
    <cacheHierarchy uniqueName="[Data_ML].[device]" caption="device" attribute="1" defaultMemberUniqueName="[Data_ML].[device].[All]" allUniqueName="[Data_ML].[device].[All]" dimensionUniqueName="[Data_ML]" displayFolder="" count="0" memberValueDatatype="130" unbalanced="0"/>
    <cacheHierarchy uniqueName="[Data_ML].[company]" caption="company" attribute="1" defaultMemberUniqueName="[Data_ML].[company].[All]" allUniqueName="[Data_ML].[company].[All]" dimensionUniqueName="[Data_ML]" displayFolder="" count="0" memberValueDatatype="130" unbalanced="0"/>
    <cacheHierarchy uniqueName="[Data_ML].[cpuName]" caption="cpuName" attribute="1" defaultMemberUniqueName="[Data_ML].[cpuName].[All]" allUniqueName="[Data_ML].[cpuName].[All]" dimensionUniqueName="[Data_ML]" displayFolder="" count="0" memberValueDatatype="130" unbalanced="0"/>
    <cacheHierarchy uniqueName="[Data_ML].[cores]" caption="cores" attribute="1" defaultMemberUniqueName="[Data_ML].[cores].[All]" allUniqueName="[Data_ML].[cores].[All]" dimensionUniqueName="[Data_ML]" displayFolder="" count="0" memberValueDatatype="20" unbalanced="0"/>
    <cacheHierarchy uniqueName="[Data_ML].[clock]" caption="clock" attribute="1" defaultMemberUniqueName="[Data_ML].[clock].[All]" allUniqueName="[Data_ML].[clock].[All]" dimensionUniqueName="[Data_ML]" displayFolder="" count="0" memberValueDatatype="20" unbalanced="0"/>
    <cacheHierarchy uniqueName="[Data_ML].[cpuScore]" caption="cpuScore" attribute="1" defaultMemberUniqueName="[Data_ML].[cpuScore].[All]" allUniqueName="[Data_ML].[cpuScore].[All]" dimensionUniqueName="[Data_ML]" displayFolder="" count="0" memberValueDatatype="20" unbalanced="0"/>
    <cacheHierarchy uniqueName="[Data_ML].[gpuScore]" caption="gpuScore" attribute="1" defaultMemberUniqueName="[Data_ML].[gpuScore].[All]" allUniqueName="[Data_ML].[gpuScore].[All]" dimensionUniqueName="[Data_ML]" displayFolder="" count="0" memberValueDatatype="20" unbalanced="0"/>
    <cacheHierarchy uniqueName="[Data_ML].[npuScore]" caption="npuScore" attribute="1" defaultMemberUniqueName="[Data_ML].[npuScore].[All]" allUniqueName="[Data_ML].[npuScore].[All]" dimensionUniqueName="[Data_ML]" displayFolder="" count="0" memberValueDatatype="20" unbalanced="0"/>
    <cacheHierarchy uniqueName="[Data_ML].[release_date]" caption="release_date" attribute="1" time="1" defaultMemberUniqueName="[Data_ML].[release_date].[All]" allUniqueName="[Data_ML].[release_date].[All]" dimensionUniqueName="[Data_ML]" displayFolder="" count="0" memberValueDatatype="7" unbalanced="0"/>
    <cacheHierarchy uniqueName="[Data_ML].[CPU_Clean]" caption="CPU_Clean" attribute="1" defaultMemberUniqueName="[Data_ML].[CPU_Clean].[All]" allUniqueName="[Data_ML].[CPU_Clean].[All]" dimensionUniqueName="[Data_ML]" displayFolder="" count="0" memberValueDatatype="130" unbalanced="0"/>
    <cacheHierarchy uniqueName="[Data_ML].[release_year]" caption="release_year" attribute="1" defaultMemberUniqueName="[Data_ML].[release_year].[All]" allUniqueName="[Data_ML].[release_year].[All]" dimensionUniqueName="[Data_ML]" displayFolder="" count="0" memberValueDatatype="20" unbalanced="0"/>
    <cacheHierarchy uniqueName="[Measures].[Sum of geekbenchMulti]" caption="Sum of geekbenchMulti" measure="1" displayFolder="" measureGroup="Data_CPU" count="0">
      <extLst>
        <ext xmlns:x15="http://schemas.microsoft.com/office/spreadsheetml/2010/11/main" uri="{B97F6D7D-B522-45F9-BDA1-12C45D357490}">
          <x15:cacheHierarchy aggregatedColumn="14"/>
        </ext>
      </extLst>
    </cacheHierarchy>
    <cacheHierarchy uniqueName="[Measures].[Average of geekbenchMulti]" caption="Average of geekbenchMulti" measure="1" displayFolder="" measureGroup="Data_CPU" count="0" oneField="1">
      <fieldsUsage count="1">
        <fieldUsage x="1"/>
      </fieldsUsage>
      <extLst>
        <ext xmlns:x15="http://schemas.microsoft.com/office/spreadsheetml/2010/11/main" uri="{B97F6D7D-B522-45F9-BDA1-12C45D357490}">
          <x15:cacheHierarchy aggregatedColumn="14"/>
        </ext>
      </extLst>
    </cacheHierarchy>
    <cacheHierarchy uniqueName="[Measures].[Sum of geekbenchSingle]" caption="Sum of geekbenchSingle" measure="1" displayFolder="" measureGroup="Data_CPU" count="0">
      <extLst>
        <ext xmlns:x15="http://schemas.microsoft.com/office/spreadsheetml/2010/11/main" uri="{B97F6D7D-B522-45F9-BDA1-12C45D357490}">
          <x15:cacheHierarchy aggregatedColumn="13"/>
        </ext>
      </extLst>
    </cacheHierarchy>
    <cacheHierarchy uniqueName="[Measures].[Count of CPU_Clean]" caption="Count of CPU_Clean" measure="1" displayFolder="" measureGroup="Data_CPU" count="0">
      <extLst>
        <ext xmlns:x15="http://schemas.microsoft.com/office/spreadsheetml/2010/11/main" uri="{B97F6D7D-B522-45F9-BDA1-12C45D357490}">
          <x15:cacheHierarchy aggregatedColumn="21"/>
        </ext>
      </extLst>
    </cacheHierarchy>
    <cacheHierarchy uniqueName="[Measures].[Avg_GeekbenchMulti]" caption="Avg_GeekbenchMulti" measure="1" displayFolder="" measureGroup="Data_CPU" count="0"/>
    <cacheHierarchy uniqueName="[Measures].[Avg_AnTuTuScore]" caption="Avg_AnTuTuScore" measure="1" displayFolder="" measureGroup="Data_AnTuTu" count="0"/>
    <cacheHierarchy uniqueName="[Measures].[Avg_CPUAnTuTu]" caption="Avg_CPUAnTuTu" measure="1" displayFolder="" measureGroup="Data_CPU" count="0"/>
    <cacheHierarchy uniqueName="[Measures].[__XL_Count Data_CPU]" caption="__XL_Count Data_CPU" measure="1" displayFolder="" measureGroup="Data_CPU" count="0" hidden="1"/>
    <cacheHierarchy uniqueName="[Measures].[__XL_Count Data_ML]" caption="__XL_Count Data_ML" measure="1" displayFolder="" measureGroup="Data_ML" count="0" hidden="1"/>
    <cacheHierarchy uniqueName="[Measures].[__XL_Count Data_AnTuTu]" caption="__XL_Count Data_AnTuTu" measure="1" displayFolder="" measureGroup="Data_AnTuTu" count="0" hidden="1"/>
    <cacheHierarchy uniqueName="[Measures].[__No measures defined]" caption="__No measures defined" measure="1" displayFolder="" count="0" hidden="1"/>
  </cacheHierarchies>
  <kpis count="0"/>
  <dimensions count="4">
    <dimension name="Data_AnTuTu" uniqueName="[Data_AnTuTu]" caption="Data_AnTuTu"/>
    <dimension name="Data_CPU" uniqueName="[Data_CPU]" caption="Data_CPU"/>
    <dimension name="Data_ML" uniqueName="[Data_ML]" caption="Data_ML"/>
    <dimension measure="1" name="Measures" uniqueName="[Measures]" caption="Measures"/>
  </dimensions>
  <measureGroups count="3">
    <measureGroup name="Data_AnTuTu" caption="Data_AnTuTu"/>
    <measureGroup name="Data_CPU" caption="Data_CPU"/>
    <measureGroup name="Data_ML" caption="Data_ML"/>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ger Nathanael" refreshedDate="46178.951513657405" backgroundQuery="1" createdVersion="8" refreshedVersion="8" minRefreshableVersion="3" recordCount="0" supportSubquery="1" supportAdvancedDrill="1" xr:uid="{3D487740-F17F-41FE-8306-8642BFB92941}">
  <cacheSource type="external" connectionId="4"/>
  <cacheFields count="2">
    <cacheField name="[Data_CPU].[company].[company]" caption="company" numFmtId="0" hierarchy="11" level="1">
      <sharedItems count="7">
        <s v="HiSilicon"/>
        <s v="Apple" u="1"/>
        <s v="Google" u="1"/>
        <s v="MediaTek" u="1"/>
        <s v="Qualcomm" u="1"/>
        <s v="Samsung" u="1"/>
        <s v="Unisoc" u="1"/>
      </sharedItems>
    </cacheField>
    <cacheField name="[Measures].[Count of CPU_Clean]" caption="Count of CPU_Clean" numFmtId="0" hierarchy="41" level="32767"/>
  </cacheFields>
  <cacheHierarchies count="49">
    <cacheHierarchy uniqueName="[Data_AnTuTu].[Device]" caption="Device" attribute="1" defaultMemberUniqueName="[Data_AnTuTu].[Device].[All]" allUniqueName="[Data_AnTuTu].[Device].[All]" dimensionUniqueName="[Data_AnTuTu]" displayFolder="" count="0" memberValueDatatype="130" unbalanced="0"/>
    <cacheHierarchy uniqueName="[Data_AnTuTu].[brand]" caption="brand" attribute="1" defaultMemberUniqueName="[Data_AnTuTu].[brand].[All]" allUniqueName="[Data_AnTuTu].[brand].[All]" dimensionUniqueName="[Data_AnTuTu]" displayFolder="" count="0" memberValueDatatype="130" unbalanced="0"/>
    <cacheHierarchy uniqueName="[Data_AnTuTu].[CPU]" caption="CPU" attribute="1" defaultMemberUniqueName="[Data_AnTuTu].[CPU].[All]" allUniqueName="[Data_AnTuTu].[CPU].[All]" dimensionUniqueName="[Data_AnTuTu]" displayFolder="" count="0" memberValueDatatype="20" unbalanced="0"/>
    <cacheHierarchy uniqueName="[Data_AnTuTu].[GPU]" caption="GPU" attribute="1" defaultMemberUniqueName="[Data_AnTuTu].[GPU].[All]" allUniqueName="[Data_AnTuTu].[GPU].[All]" dimensionUniqueName="[Data_AnTuTu]" displayFolder="" count="0" memberValueDatatype="20" unbalanced="0"/>
    <cacheHierarchy uniqueName="[Data_AnTuTu].[MEM]" caption="MEM" attribute="1" defaultMemberUniqueName="[Data_AnTuTu].[MEM].[All]" allUniqueName="[Data_AnTuTu].[MEM].[All]" dimensionUniqueName="[Data_AnTuTu]" displayFolder="" count="0" memberValueDatatype="20" unbalanced="0"/>
    <cacheHierarchy uniqueName="[Data_AnTuTu].[UX]" caption="UX" attribute="1" defaultMemberUniqueName="[Data_AnTuTu].[UX].[All]" allUniqueName="[Data_AnTuTu].[UX].[All]" dimensionUniqueName="[Data_AnTuTu]" displayFolder="" count="0" memberValueDatatype="20" unbalanced="0"/>
    <cacheHierarchy uniqueName="[Data_AnTuTu].[Total Score]" caption="Total Score" attribute="1" defaultMemberUniqueName="[Data_AnTuTu].[Total Score].[All]" allUniqueName="[Data_AnTuTu].[Total Score].[All]" dimensionUniqueName="[Data_AnTuTu]" displayFolder="" count="0" memberValueDatatype="20" unbalanced="0"/>
    <cacheHierarchy uniqueName="[Data_AnTuTu].[Device_Clean]" caption="Device_Clean" attribute="1" defaultMemberUniqueName="[Data_AnTuTu].[Device_Clean].[All]" allUniqueName="[Data_AnTuTu].[Device_Clean].[All]" dimensionUniqueName="[Data_AnTuTu]" displayFolder="" count="0" memberValueDatatype="130" unbalanced="0"/>
    <cacheHierarchy uniqueName="[Data_AnTuTu].[CPU_Name_Bridge]" caption="CPU_Name_Bridge" attribute="1" defaultMemberUniqueName="[Data_AnTuTu].[CPU_Name_Bridge].[All]" allUniqueName="[Data_AnTuTu].[CPU_Name_Bridge].[All]" dimensionUniqueName="[Data_AnTuTu]" displayFolder="" count="0" memberValueDatatype="130" unbalanced="0"/>
    <cacheHierarchy uniqueName="[Data_AnTuTu].[Core_Count_Lookup]" caption="Core_Count_Lookup" attribute="1" defaultMemberUniqueName="[Data_AnTuTu].[Core_Count_Lookup].[All]" allUniqueName="[Data_AnTuTu].[Core_Count_Lookup].[All]" dimensionUniqueName="[Data_AnTuTu]" displayFolder="" count="0" memberValueDatatype="130" unbalanced="0"/>
    <cacheHierarchy uniqueName="[Data_CPU].[rank]" caption="rank" attribute="1" defaultMemberUniqueName="[Data_CPU].[rank].[All]" allUniqueName="[Data_CPU].[rank].[All]" dimensionUniqueName="[Data_CPU]" displayFolder="" count="0" memberValueDatatype="20" unbalanced="0"/>
    <cacheHierarchy uniqueName="[Data_CPU].[company]" caption="company" attribute="1" defaultMemberUniqueName="[Data_CPU].[company].[All]" allUniqueName="[Data_CPU].[company].[All]" dimensionUniqueName="[Data_CPU]" displayFolder="" count="2" memberValueDatatype="130" unbalanced="0">
      <fieldsUsage count="2">
        <fieldUsage x="-1"/>
        <fieldUsage x="0"/>
      </fieldsUsage>
    </cacheHierarchy>
    <cacheHierarchy uniqueName="[Data_CPU].[cpuName]" caption="cpuName" attribute="1" defaultMemberUniqueName="[Data_CPU].[cpuName].[All]" allUniqueName="[Data_CPU].[cpuName].[All]" dimensionUniqueName="[Data_CPU]" displayFolder="" count="0" memberValueDatatype="130" unbalanced="0"/>
    <cacheHierarchy uniqueName="[Data_CPU].[geekbenchSingle]" caption="geekbenchSingle" attribute="1" defaultMemberUniqueName="[Data_CPU].[geekbenchSingle].[All]" allUniqueName="[Data_CPU].[geekbenchSingle].[All]" dimensionUniqueName="[Data_CPU]" displayFolder="" count="0" memberValueDatatype="20" unbalanced="0"/>
    <cacheHierarchy uniqueName="[Data_CPU].[geekbenchMulti]" caption="geekbenchMulti" attribute="1" defaultMemberUniqueName="[Data_CPU].[geekbenchMulti].[All]" allUniqueName="[Data_CPU].[geekbenchMulti].[All]" dimensionUniqueName="[Data_CPU]" displayFolder="" count="0" memberValueDatatype="20" unbalanced="0"/>
    <cacheHierarchy uniqueName="[Data_CPU].[antutu9]" caption="antutu9" attribute="1" defaultMemberUniqueName="[Data_CPU].[antutu9].[All]" allUniqueName="[Data_CPU].[antutu9].[All]" dimensionUniqueName="[Data_CPU]" displayFolder="" count="0" memberValueDatatype="20" unbalanced="0"/>
    <cacheHierarchy uniqueName="[Data_CPU].[coreCount]" caption="coreCount" attribute="1" defaultMemberUniqueName="[Data_CPU].[coreCount].[All]" allUniqueName="[Data_CPU].[coreCount].[All]" dimensionUniqueName="[Data_CPU]" displayFolder="" count="2" memberValueDatatype="20" unbalanced="0"/>
    <cacheHierarchy uniqueName="[Data_CPU].[coreConfig]" caption="coreConfig" attribute="1" defaultMemberUniqueName="[Data_CPU].[coreConfig].[All]" allUniqueName="[Data_CPU].[coreConfig].[All]" dimensionUniqueName="[Data_CPU]" displayFolder="" count="0" memberValueDatatype="130" unbalanced="0"/>
    <cacheHierarchy uniqueName="[Data_CPU].[clockSpeed]" caption="clockSpeed" attribute="1" defaultMemberUniqueName="[Data_CPU].[clockSpeed].[All]" allUniqueName="[Data_CPU].[clockSpeed].[All]" dimensionUniqueName="[Data_CPU]" displayFolder="" count="0" memberValueDatatype="20" unbalanced="0"/>
    <cacheHierarchy uniqueName="[Data_CPU].[gpu]" caption="gpu" attribute="1" defaultMemberUniqueName="[Data_CPU].[gpu].[All]" allUniqueName="[Data_CPU].[gpu].[All]" dimensionUniqueName="[Data_CPU]" displayFolder="" count="0" memberValueDatatype="130" unbalanced="0"/>
    <cacheHierarchy uniqueName="[Data_CPU].[release_date]" caption="release_date" attribute="1" time="1" defaultMemberUniqueName="[Data_CPU].[release_date].[All]" allUniqueName="[Data_CPU].[release_date].[All]" dimensionUniqueName="[Data_CPU]" displayFolder="" count="0" memberValueDatatype="7" unbalanced="0"/>
    <cacheHierarchy uniqueName="[Data_CPU].[CPU_Clean]" caption="CPU_Clean" attribute="1" defaultMemberUniqueName="[Data_CPU].[CPU_Clean].[All]" allUniqueName="[Data_CPU].[CPU_Clean].[All]" dimensionUniqueName="[Data_CPU]" displayFolder="" count="0" memberValueDatatype="130" unbalanced="0"/>
    <cacheHierarchy uniqueName="[Data_CPU].[release_year]" caption="release_year" attribute="1" defaultMemberUniqueName="[Data_CPU].[release_year].[All]" allUniqueName="[Data_CPU].[release_year].[All]" dimensionUniqueName="[Data_CPU]" displayFolder="" count="0" memberValueDatatype="20" unbalanced="0"/>
    <cacheHierarchy uniqueName="[Data_CPU].[PerformanceTier]" caption="PerformanceTier" attribute="1" defaultMemberUniqueName="[Data_CPU].[PerformanceTier].[All]" allUniqueName="[Data_CPU].[PerformanceTier].[All]" dimensionUniqueName="[Data_CPU]" displayFolder="" count="0" memberValueDatatype="130" unbalanced="0"/>
    <cacheHierarchy uniqueName="[Data_CPU].[ScorePerGHz]" caption="ScorePerGHz" attribute="1" defaultMemberUniqueName="[Data_CPU].[ScorePerGHz].[All]" allUniqueName="[Data_CPU].[ScorePerGHz].[All]" dimensionUniqueName="[Data_CPU]" displayFolder="" count="0" memberValueDatatype="20" unbalanced="0"/>
    <cacheHierarchy uniqueName="[Data_CPU].[ClockCategory]" caption="ClockCategory" attribute="1" defaultMemberUniqueName="[Data_CPU].[ClockCategory].[All]" allUniqueName="[Data_CPU].[ClockCategory].[All]" dimensionUniqueName="[Data_CPU]" displayFolder="" count="0" memberValueDatatype="130" unbalanced="0"/>
    <cacheHierarchy uniqueName="[Data_CPU].[AnTuTuTier]" caption="AnTuTuTier" attribute="1" defaultMemberUniqueName="[Data_CPU].[AnTuTuTier].[All]" allUniqueName="[Data_CPU].[AnTuTuTier].[All]" dimensionUniqueName="[Data_CPU]" displayFolder="" count="0" memberValueDatatype="130" unbalanced="0"/>
    <cacheHierarchy uniqueName="[Data_ML].[device]" caption="device" attribute="1" defaultMemberUniqueName="[Data_ML].[device].[All]" allUniqueName="[Data_ML].[device].[All]" dimensionUniqueName="[Data_ML]" displayFolder="" count="0" memberValueDatatype="130" unbalanced="0"/>
    <cacheHierarchy uniqueName="[Data_ML].[company]" caption="company" attribute="1" defaultMemberUniqueName="[Data_ML].[company].[All]" allUniqueName="[Data_ML].[company].[All]" dimensionUniqueName="[Data_ML]" displayFolder="" count="0" memberValueDatatype="130" unbalanced="0"/>
    <cacheHierarchy uniqueName="[Data_ML].[cpuName]" caption="cpuName" attribute="1" defaultMemberUniqueName="[Data_ML].[cpuName].[All]" allUniqueName="[Data_ML].[cpuName].[All]" dimensionUniqueName="[Data_ML]" displayFolder="" count="0" memberValueDatatype="130" unbalanced="0"/>
    <cacheHierarchy uniqueName="[Data_ML].[cores]" caption="cores" attribute="1" defaultMemberUniqueName="[Data_ML].[cores].[All]" allUniqueName="[Data_ML].[cores].[All]" dimensionUniqueName="[Data_ML]" displayFolder="" count="0" memberValueDatatype="20" unbalanced="0"/>
    <cacheHierarchy uniqueName="[Data_ML].[clock]" caption="clock" attribute="1" defaultMemberUniqueName="[Data_ML].[clock].[All]" allUniqueName="[Data_ML].[clock].[All]" dimensionUniqueName="[Data_ML]" displayFolder="" count="0" memberValueDatatype="20" unbalanced="0"/>
    <cacheHierarchy uniqueName="[Data_ML].[cpuScore]" caption="cpuScore" attribute="1" defaultMemberUniqueName="[Data_ML].[cpuScore].[All]" allUniqueName="[Data_ML].[cpuScore].[All]" dimensionUniqueName="[Data_ML]" displayFolder="" count="0" memberValueDatatype="20" unbalanced="0"/>
    <cacheHierarchy uniqueName="[Data_ML].[gpuScore]" caption="gpuScore" attribute="1" defaultMemberUniqueName="[Data_ML].[gpuScore].[All]" allUniqueName="[Data_ML].[gpuScore].[All]" dimensionUniqueName="[Data_ML]" displayFolder="" count="0" memberValueDatatype="20" unbalanced="0"/>
    <cacheHierarchy uniqueName="[Data_ML].[npuScore]" caption="npuScore" attribute="1" defaultMemberUniqueName="[Data_ML].[npuScore].[All]" allUniqueName="[Data_ML].[npuScore].[All]" dimensionUniqueName="[Data_ML]" displayFolder="" count="0" memberValueDatatype="20" unbalanced="0"/>
    <cacheHierarchy uniqueName="[Data_ML].[release_date]" caption="release_date" attribute="1" time="1" defaultMemberUniqueName="[Data_ML].[release_date].[All]" allUniqueName="[Data_ML].[release_date].[All]" dimensionUniqueName="[Data_ML]" displayFolder="" count="0" memberValueDatatype="7" unbalanced="0"/>
    <cacheHierarchy uniqueName="[Data_ML].[CPU_Clean]" caption="CPU_Clean" attribute="1" defaultMemberUniqueName="[Data_ML].[CPU_Clean].[All]" allUniqueName="[Data_ML].[CPU_Clean].[All]" dimensionUniqueName="[Data_ML]" displayFolder="" count="0" memberValueDatatype="130" unbalanced="0"/>
    <cacheHierarchy uniqueName="[Data_ML].[release_year]" caption="release_year" attribute="1" defaultMemberUniqueName="[Data_ML].[release_year].[All]" allUniqueName="[Data_ML].[release_year].[All]" dimensionUniqueName="[Data_ML]" displayFolder="" count="0" memberValueDatatype="20" unbalanced="0"/>
    <cacheHierarchy uniqueName="[Measures].[Sum of geekbenchMulti]" caption="Sum of geekbenchMulti" measure="1" displayFolder="" measureGroup="Data_CPU" count="0">
      <extLst>
        <ext xmlns:x15="http://schemas.microsoft.com/office/spreadsheetml/2010/11/main" uri="{B97F6D7D-B522-45F9-BDA1-12C45D357490}">
          <x15:cacheHierarchy aggregatedColumn="14"/>
        </ext>
      </extLst>
    </cacheHierarchy>
    <cacheHierarchy uniqueName="[Measures].[Average of geekbenchMulti]" caption="Average of geekbenchMulti" measure="1" displayFolder="" measureGroup="Data_CPU" count="0">
      <extLst>
        <ext xmlns:x15="http://schemas.microsoft.com/office/spreadsheetml/2010/11/main" uri="{B97F6D7D-B522-45F9-BDA1-12C45D357490}">
          <x15:cacheHierarchy aggregatedColumn="14"/>
        </ext>
      </extLst>
    </cacheHierarchy>
    <cacheHierarchy uniqueName="[Measures].[Sum of geekbenchSingle]" caption="Sum of geekbenchSingle" measure="1" displayFolder="" measureGroup="Data_CPU" count="0">
      <extLst>
        <ext xmlns:x15="http://schemas.microsoft.com/office/spreadsheetml/2010/11/main" uri="{B97F6D7D-B522-45F9-BDA1-12C45D357490}">
          <x15:cacheHierarchy aggregatedColumn="13"/>
        </ext>
      </extLst>
    </cacheHierarchy>
    <cacheHierarchy uniqueName="[Measures].[Count of CPU_Clean]" caption="Count of CPU_Clean" measure="1" displayFolder="" measureGroup="Data_CPU" count="0" oneField="1">
      <fieldsUsage count="1">
        <fieldUsage x="1"/>
      </fieldsUsage>
      <extLst>
        <ext xmlns:x15="http://schemas.microsoft.com/office/spreadsheetml/2010/11/main" uri="{B97F6D7D-B522-45F9-BDA1-12C45D357490}">
          <x15:cacheHierarchy aggregatedColumn="21"/>
        </ext>
      </extLst>
    </cacheHierarchy>
    <cacheHierarchy uniqueName="[Measures].[Avg_GeekbenchMulti]" caption="Avg_GeekbenchMulti" measure="1" displayFolder="" measureGroup="Data_CPU" count="0"/>
    <cacheHierarchy uniqueName="[Measures].[Avg_AnTuTuScore]" caption="Avg_AnTuTuScore" measure="1" displayFolder="" measureGroup="Data_AnTuTu" count="0"/>
    <cacheHierarchy uniqueName="[Measures].[Avg_CPUAnTuTu]" caption="Avg_CPUAnTuTu" measure="1" displayFolder="" measureGroup="Data_CPU" count="0"/>
    <cacheHierarchy uniqueName="[Measures].[__XL_Count Data_CPU]" caption="__XL_Count Data_CPU" measure="1" displayFolder="" measureGroup="Data_CPU" count="0" hidden="1"/>
    <cacheHierarchy uniqueName="[Measures].[__XL_Count Data_ML]" caption="__XL_Count Data_ML" measure="1" displayFolder="" measureGroup="Data_ML" count="0" hidden="1"/>
    <cacheHierarchy uniqueName="[Measures].[__XL_Count Data_AnTuTu]" caption="__XL_Count Data_AnTuTu" measure="1" displayFolder="" measureGroup="Data_AnTuTu" count="0" hidden="1"/>
    <cacheHierarchy uniqueName="[Measures].[__No measures defined]" caption="__No measures defined" measure="1" displayFolder="" count="0" hidden="1"/>
  </cacheHierarchies>
  <kpis count="0"/>
  <dimensions count="4">
    <dimension name="Data_AnTuTu" uniqueName="[Data_AnTuTu]" caption="Data_AnTuTu"/>
    <dimension name="Data_CPU" uniqueName="[Data_CPU]" caption="Data_CPU"/>
    <dimension name="Data_ML" uniqueName="[Data_ML]" caption="Data_ML"/>
    <dimension measure="1" name="Measures" uniqueName="[Measures]" caption="Measures"/>
  </dimensions>
  <measureGroups count="3">
    <measureGroup name="Data_AnTuTu" caption="Data_AnTuTu"/>
    <measureGroup name="Data_CPU" caption="Data_CPU"/>
    <measureGroup name="Data_ML" caption="Data_ML"/>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ger Nathanael" refreshedDate="46178.951514236112" backgroundQuery="1" createdVersion="8" refreshedVersion="8" minRefreshableVersion="3" recordCount="0" supportSubquery="1" supportAdvancedDrill="1" xr:uid="{0A094A1B-F52E-4238-8291-6F7E67EEAF22}">
  <cacheSource type="external" connectionId="4"/>
  <cacheFields count="4">
    <cacheField name="[Data_CPU].[CPU_Clean].[CPU_Clean]" caption="CPU_Clean" numFmtId="0" hierarchy="21" level="1">
      <sharedItems count="32">
        <s v="Kirin 810"/>
        <s v="Kirin 820"/>
        <s v="Kirin 9000"/>
        <s v="Kirin 9000E"/>
        <s v="Kirin 960"/>
        <s v="Kirin 970"/>
        <s v="Kirin 980"/>
        <s v="Kirin 985"/>
        <s v="Kirin 990 (4G)"/>
        <s v="Kirin 990 (5G)"/>
        <s v="A10 Fusion" u="1"/>
        <s v="A11 Bionic" u="1"/>
        <s v="A12 Bionic" u="1"/>
        <s v="A13 Bionic" u="1"/>
        <s v="A14 Bionic" u="1"/>
        <s v="A15 Bionic" u="1"/>
        <s v="Apple A9" u="1"/>
        <s v="Dimensity 8100" u="1"/>
        <s v="Dimensity 9000" u="1"/>
        <s v="Exynos 2100" u="1"/>
        <s v="Snapdragon 8 Gen 1" u="1"/>
        <s v="Snapdragon 888" u="1"/>
        <s v="Snapdragon 888 Plus" u="1"/>
        <s v="Exynos 2200" u="1"/>
        <s v="Exynos 1080" u="1"/>
        <s v="Exynos 1280" u="1"/>
        <s v="Exynos 880" u="1"/>
        <s v="Exynos 980" u="1"/>
        <s v="Exynos 9810" u="1"/>
        <s v="Exynos 9820" u="1"/>
        <s v="Exynos 9825" u="1"/>
        <s v="Exynos 990" u="1"/>
      </sharedItems>
    </cacheField>
    <cacheField name="[Measures].[Sum of geekbenchSingle]" caption="Sum of geekbenchSingle" numFmtId="0" hierarchy="40" level="32767"/>
    <cacheField name="[Measures].[Sum of geekbenchMulti]" caption="Sum of geekbenchMulti" numFmtId="0" hierarchy="38" level="32767"/>
    <cacheField name="[Data_CPU].[company].[company]" caption="company" numFmtId="0" hierarchy="11" level="1">
      <sharedItems containsSemiMixedTypes="0" containsNonDate="0" containsString="0"/>
    </cacheField>
  </cacheFields>
  <cacheHierarchies count="49">
    <cacheHierarchy uniqueName="[Data_AnTuTu].[Device]" caption="Device" attribute="1" defaultMemberUniqueName="[Data_AnTuTu].[Device].[All]" allUniqueName="[Data_AnTuTu].[Device].[All]" dimensionUniqueName="[Data_AnTuTu]" displayFolder="" count="0" memberValueDatatype="130" unbalanced="0"/>
    <cacheHierarchy uniqueName="[Data_AnTuTu].[brand]" caption="brand" attribute="1" defaultMemberUniqueName="[Data_AnTuTu].[brand].[All]" allUniqueName="[Data_AnTuTu].[brand].[All]" dimensionUniqueName="[Data_AnTuTu]" displayFolder="" count="0" memberValueDatatype="130" unbalanced="0"/>
    <cacheHierarchy uniqueName="[Data_AnTuTu].[CPU]" caption="CPU" attribute="1" defaultMemberUniqueName="[Data_AnTuTu].[CPU].[All]" allUniqueName="[Data_AnTuTu].[CPU].[All]" dimensionUniqueName="[Data_AnTuTu]" displayFolder="" count="0" memberValueDatatype="20" unbalanced="0"/>
    <cacheHierarchy uniqueName="[Data_AnTuTu].[GPU]" caption="GPU" attribute="1" defaultMemberUniqueName="[Data_AnTuTu].[GPU].[All]" allUniqueName="[Data_AnTuTu].[GPU].[All]" dimensionUniqueName="[Data_AnTuTu]" displayFolder="" count="0" memberValueDatatype="20" unbalanced="0"/>
    <cacheHierarchy uniqueName="[Data_AnTuTu].[MEM]" caption="MEM" attribute="1" defaultMemberUniqueName="[Data_AnTuTu].[MEM].[All]" allUniqueName="[Data_AnTuTu].[MEM].[All]" dimensionUniqueName="[Data_AnTuTu]" displayFolder="" count="0" memberValueDatatype="20" unbalanced="0"/>
    <cacheHierarchy uniqueName="[Data_AnTuTu].[UX]" caption="UX" attribute="1" defaultMemberUniqueName="[Data_AnTuTu].[UX].[All]" allUniqueName="[Data_AnTuTu].[UX].[All]" dimensionUniqueName="[Data_AnTuTu]" displayFolder="" count="0" memberValueDatatype="20" unbalanced="0"/>
    <cacheHierarchy uniqueName="[Data_AnTuTu].[Total Score]" caption="Total Score" attribute="1" defaultMemberUniqueName="[Data_AnTuTu].[Total Score].[All]" allUniqueName="[Data_AnTuTu].[Total Score].[All]" dimensionUniqueName="[Data_AnTuTu]" displayFolder="" count="0" memberValueDatatype="20" unbalanced="0"/>
    <cacheHierarchy uniqueName="[Data_AnTuTu].[Device_Clean]" caption="Device_Clean" attribute="1" defaultMemberUniqueName="[Data_AnTuTu].[Device_Clean].[All]" allUniqueName="[Data_AnTuTu].[Device_Clean].[All]" dimensionUniqueName="[Data_AnTuTu]" displayFolder="" count="0" memberValueDatatype="130" unbalanced="0"/>
    <cacheHierarchy uniqueName="[Data_AnTuTu].[CPU_Name_Bridge]" caption="CPU_Name_Bridge" attribute="1" defaultMemberUniqueName="[Data_AnTuTu].[CPU_Name_Bridge].[All]" allUniqueName="[Data_AnTuTu].[CPU_Name_Bridge].[All]" dimensionUniqueName="[Data_AnTuTu]" displayFolder="" count="0" memberValueDatatype="130" unbalanced="0"/>
    <cacheHierarchy uniqueName="[Data_AnTuTu].[Core_Count_Lookup]" caption="Core_Count_Lookup" attribute="1" defaultMemberUniqueName="[Data_AnTuTu].[Core_Count_Lookup].[All]" allUniqueName="[Data_AnTuTu].[Core_Count_Lookup].[All]" dimensionUniqueName="[Data_AnTuTu]" displayFolder="" count="0" memberValueDatatype="130" unbalanced="0"/>
    <cacheHierarchy uniqueName="[Data_CPU].[rank]" caption="rank" attribute="1" defaultMemberUniqueName="[Data_CPU].[rank].[All]" allUniqueName="[Data_CPU].[rank].[All]" dimensionUniqueName="[Data_CPU]" displayFolder="" count="0" memberValueDatatype="20" unbalanced="0"/>
    <cacheHierarchy uniqueName="[Data_CPU].[company]" caption="company" attribute="1" defaultMemberUniqueName="[Data_CPU].[company].[All]" allUniqueName="[Data_CPU].[company].[All]" dimensionUniqueName="[Data_CPU]" displayFolder="" count="2" memberValueDatatype="130" unbalanced="0">
      <fieldsUsage count="2">
        <fieldUsage x="-1"/>
        <fieldUsage x="3"/>
      </fieldsUsage>
    </cacheHierarchy>
    <cacheHierarchy uniqueName="[Data_CPU].[cpuName]" caption="cpuName" attribute="1" defaultMemberUniqueName="[Data_CPU].[cpuName].[All]" allUniqueName="[Data_CPU].[cpuName].[All]" dimensionUniqueName="[Data_CPU]" displayFolder="" count="0" memberValueDatatype="130" unbalanced="0"/>
    <cacheHierarchy uniqueName="[Data_CPU].[geekbenchSingle]" caption="geekbenchSingle" attribute="1" defaultMemberUniqueName="[Data_CPU].[geekbenchSingle].[All]" allUniqueName="[Data_CPU].[geekbenchSingle].[All]" dimensionUniqueName="[Data_CPU]" displayFolder="" count="0" memberValueDatatype="20" unbalanced="0"/>
    <cacheHierarchy uniqueName="[Data_CPU].[geekbenchMulti]" caption="geekbenchMulti" attribute="1" defaultMemberUniqueName="[Data_CPU].[geekbenchMulti].[All]" allUniqueName="[Data_CPU].[geekbenchMulti].[All]" dimensionUniqueName="[Data_CPU]" displayFolder="" count="0" memberValueDatatype="20" unbalanced="0"/>
    <cacheHierarchy uniqueName="[Data_CPU].[antutu9]" caption="antutu9" attribute="1" defaultMemberUniqueName="[Data_CPU].[antutu9].[All]" allUniqueName="[Data_CPU].[antutu9].[All]" dimensionUniqueName="[Data_CPU]" displayFolder="" count="0" memberValueDatatype="20" unbalanced="0"/>
    <cacheHierarchy uniqueName="[Data_CPU].[coreCount]" caption="coreCount" attribute="1" defaultMemberUniqueName="[Data_CPU].[coreCount].[All]" allUniqueName="[Data_CPU].[coreCount].[All]" dimensionUniqueName="[Data_CPU]" displayFolder="" count="2" memberValueDatatype="20" unbalanced="0"/>
    <cacheHierarchy uniqueName="[Data_CPU].[coreConfig]" caption="coreConfig" attribute="1" defaultMemberUniqueName="[Data_CPU].[coreConfig].[All]" allUniqueName="[Data_CPU].[coreConfig].[All]" dimensionUniqueName="[Data_CPU]" displayFolder="" count="0" memberValueDatatype="130" unbalanced="0"/>
    <cacheHierarchy uniqueName="[Data_CPU].[clockSpeed]" caption="clockSpeed" attribute="1" defaultMemberUniqueName="[Data_CPU].[clockSpeed].[All]" allUniqueName="[Data_CPU].[clockSpeed].[All]" dimensionUniqueName="[Data_CPU]" displayFolder="" count="0" memberValueDatatype="20" unbalanced="0"/>
    <cacheHierarchy uniqueName="[Data_CPU].[gpu]" caption="gpu" attribute="1" defaultMemberUniqueName="[Data_CPU].[gpu].[All]" allUniqueName="[Data_CPU].[gpu].[All]" dimensionUniqueName="[Data_CPU]" displayFolder="" count="0" memberValueDatatype="130" unbalanced="0"/>
    <cacheHierarchy uniqueName="[Data_CPU].[release_date]" caption="release_date" attribute="1" time="1" defaultMemberUniqueName="[Data_CPU].[release_date].[All]" allUniqueName="[Data_CPU].[release_date].[All]" dimensionUniqueName="[Data_CPU]" displayFolder="" count="0" memberValueDatatype="7" unbalanced="0"/>
    <cacheHierarchy uniqueName="[Data_CPU].[CPU_Clean]" caption="CPU_Clean" attribute="1" defaultMemberUniqueName="[Data_CPU].[CPU_Clean].[All]" allUniqueName="[Data_CPU].[CPU_Clean].[All]" dimensionUniqueName="[Data_CPU]" displayFolder="" count="2" memberValueDatatype="130" unbalanced="0">
      <fieldsUsage count="2">
        <fieldUsage x="-1"/>
        <fieldUsage x="0"/>
      </fieldsUsage>
    </cacheHierarchy>
    <cacheHierarchy uniqueName="[Data_CPU].[release_year]" caption="release_year" attribute="1" defaultMemberUniqueName="[Data_CPU].[release_year].[All]" allUniqueName="[Data_CPU].[release_year].[All]" dimensionUniqueName="[Data_CPU]" displayFolder="" count="0" memberValueDatatype="20" unbalanced="0"/>
    <cacheHierarchy uniqueName="[Data_CPU].[PerformanceTier]" caption="PerformanceTier" attribute="1" defaultMemberUniqueName="[Data_CPU].[PerformanceTier].[All]" allUniqueName="[Data_CPU].[PerformanceTier].[All]" dimensionUniqueName="[Data_CPU]" displayFolder="" count="0" memberValueDatatype="130" unbalanced="0"/>
    <cacheHierarchy uniqueName="[Data_CPU].[ScorePerGHz]" caption="ScorePerGHz" attribute="1" defaultMemberUniqueName="[Data_CPU].[ScorePerGHz].[All]" allUniqueName="[Data_CPU].[ScorePerGHz].[All]" dimensionUniqueName="[Data_CPU]" displayFolder="" count="0" memberValueDatatype="20" unbalanced="0"/>
    <cacheHierarchy uniqueName="[Data_CPU].[ClockCategory]" caption="ClockCategory" attribute="1" defaultMemberUniqueName="[Data_CPU].[ClockCategory].[All]" allUniqueName="[Data_CPU].[ClockCategory].[All]" dimensionUniqueName="[Data_CPU]" displayFolder="" count="0" memberValueDatatype="130" unbalanced="0"/>
    <cacheHierarchy uniqueName="[Data_CPU].[AnTuTuTier]" caption="AnTuTuTier" attribute="1" defaultMemberUniqueName="[Data_CPU].[AnTuTuTier].[All]" allUniqueName="[Data_CPU].[AnTuTuTier].[All]" dimensionUniqueName="[Data_CPU]" displayFolder="" count="0" memberValueDatatype="130" unbalanced="0"/>
    <cacheHierarchy uniqueName="[Data_ML].[device]" caption="device" attribute="1" defaultMemberUniqueName="[Data_ML].[device].[All]" allUniqueName="[Data_ML].[device].[All]" dimensionUniqueName="[Data_ML]" displayFolder="" count="0" memberValueDatatype="130" unbalanced="0"/>
    <cacheHierarchy uniqueName="[Data_ML].[company]" caption="company" attribute="1" defaultMemberUniqueName="[Data_ML].[company].[All]" allUniqueName="[Data_ML].[company].[All]" dimensionUniqueName="[Data_ML]" displayFolder="" count="0" memberValueDatatype="130" unbalanced="0"/>
    <cacheHierarchy uniqueName="[Data_ML].[cpuName]" caption="cpuName" attribute="1" defaultMemberUniqueName="[Data_ML].[cpuName].[All]" allUniqueName="[Data_ML].[cpuName].[All]" dimensionUniqueName="[Data_ML]" displayFolder="" count="0" memberValueDatatype="130" unbalanced="0"/>
    <cacheHierarchy uniqueName="[Data_ML].[cores]" caption="cores" attribute="1" defaultMemberUniqueName="[Data_ML].[cores].[All]" allUniqueName="[Data_ML].[cores].[All]" dimensionUniqueName="[Data_ML]" displayFolder="" count="0" memberValueDatatype="20" unbalanced="0"/>
    <cacheHierarchy uniqueName="[Data_ML].[clock]" caption="clock" attribute="1" defaultMemberUniqueName="[Data_ML].[clock].[All]" allUniqueName="[Data_ML].[clock].[All]" dimensionUniqueName="[Data_ML]" displayFolder="" count="0" memberValueDatatype="20" unbalanced="0"/>
    <cacheHierarchy uniqueName="[Data_ML].[cpuScore]" caption="cpuScore" attribute="1" defaultMemberUniqueName="[Data_ML].[cpuScore].[All]" allUniqueName="[Data_ML].[cpuScore].[All]" dimensionUniqueName="[Data_ML]" displayFolder="" count="0" memberValueDatatype="20" unbalanced="0"/>
    <cacheHierarchy uniqueName="[Data_ML].[gpuScore]" caption="gpuScore" attribute="1" defaultMemberUniqueName="[Data_ML].[gpuScore].[All]" allUniqueName="[Data_ML].[gpuScore].[All]" dimensionUniqueName="[Data_ML]" displayFolder="" count="0" memberValueDatatype="20" unbalanced="0"/>
    <cacheHierarchy uniqueName="[Data_ML].[npuScore]" caption="npuScore" attribute="1" defaultMemberUniqueName="[Data_ML].[npuScore].[All]" allUniqueName="[Data_ML].[npuScore].[All]" dimensionUniqueName="[Data_ML]" displayFolder="" count="0" memberValueDatatype="20" unbalanced="0"/>
    <cacheHierarchy uniqueName="[Data_ML].[release_date]" caption="release_date" attribute="1" time="1" defaultMemberUniqueName="[Data_ML].[release_date].[All]" allUniqueName="[Data_ML].[release_date].[All]" dimensionUniqueName="[Data_ML]" displayFolder="" count="0" memberValueDatatype="7" unbalanced="0"/>
    <cacheHierarchy uniqueName="[Data_ML].[CPU_Clean]" caption="CPU_Clean" attribute="1" defaultMemberUniqueName="[Data_ML].[CPU_Clean].[All]" allUniqueName="[Data_ML].[CPU_Clean].[All]" dimensionUniqueName="[Data_ML]" displayFolder="" count="0" memberValueDatatype="130" unbalanced="0"/>
    <cacheHierarchy uniqueName="[Data_ML].[release_year]" caption="release_year" attribute="1" defaultMemberUniqueName="[Data_ML].[release_year].[All]" allUniqueName="[Data_ML].[release_year].[All]" dimensionUniqueName="[Data_ML]" displayFolder="" count="0" memberValueDatatype="20" unbalanced="0"/>
    <cacheHierarchy uniqueName="[Measures].[Sum of geekbenchMulti]" caption="Sum of geekbenchMulti" measure="1" displayFolder="" measureGroup="Data_CPU" count="0" oneField="1">
      <fieldsUsage count="1">
        <fieldUsage x="2"/>
      </fieldsUsage>
      <extLst>
        <ext xmlns:x15="http://schemas.microsoft.com/office/spreadsheetml/2010/11/main" uri="{B97F6D7D-B522-45F9-BDA1-12C45D357490}">
          <x15:cacheHierarchy aggregatedColumn="14"/>
        </ext>
      </extLst>
    </cacheHierarchy>
    <cacheHierarchy uniqueName="[Measures].[Average of geekbenchMulti]" caption="Average of geekbenchMulti" measure="1" displayFolder="" measureGroup="Data_CPU" count="0">
      <extLst>
        <ext xmlns:x15="http://schemas.microsoft.com/office/spreadsheetml/2010/11/main" uri="{B97F6D7D-B522-45F9-BDA1-12C45D357490}">
          <x15:cacheHierarchy aggregatedColumn="14"/>
        </ext>
      </extLst>
    </cacheHierarchy>
    <cacheHierarchy uniqueName="[Measures].[Sum of geekbenchSingle]" caption="Sum of geekbenchSingle" measure="1" displayFolder="" measureGroup="Data_CPU" count="0" oneField="1">
      <fieldsUsage count="1">
        <fieldUsage x="1"/>
      </fieldsUsage>
      <extLst>
        <ext xmlns:x15="http://schemas.microsoft.com/office/spreadsheetml/2010/11/main" uri="{B97F6D7D-B522-45F9-BDA1-12C45D357490}">
          <x15:cacheHierarchy aggregatedColumn="13"/>
        </ext>
      </extLst>
    </cacheHierarchy>
    <cacheHierarchy uniqueName="[Measures].[Count of CPU_Clean]" caption="Count of CPU_Clean" measure="1" displayFolder="" measureGroup="Data_CPU" count="0">
      <extLst>
        <ext xmlns:x15="http://schemas.microsoft.com/office/spreadsheetml/2010/11/main" uri="{B97F6D7D-B522-45F9-BDA1-12C45D357490}">
          <x15:cacheHierarchy aggregatedColumn="21"/>
        </ext>
      </extLst>
    </cacheHierarchy>
    <cacheHierarchy uniqueName="[Measures].[Avg_GeekbenchMulti]" caption="Avg_GeekbenchMulti" measure="1" displayFolder="" measureGroup="Data_CPU" count="0"/>
    <cacheHierarchy uniqueName="[Measures].[Avg_AnTuTuScore]" caption="Avg_AnTuTuScore" measure="1" displayFolder="" measureGroup="Data_AnTuTu" count="0"/>
    <cacheHierarchy uniqueName="[Measures].[Avg_CPUAnTuTu]" caption="Avg_CPUAnTuTu" measure="1" displayFolder="" measureGroup="Data_CPU" count="0"/>
    <cacheHierarchy uniqueName="[Measures].[__XL_Count Data_CPU]" caption="__XL_Count Data_CPU" measure="1" displayFolder="" measureGroup="Data_CPU" count="0" hidden="1"/>
    <cacheHierarchy uniqueName="[Measures].[__XL_Count Data_ML]" caption="__XL_Count Data_ML" measure="1" displayFolder="" measureGroup="Data_ML" count="0" hidden="1"/>
    <cacheHierarchy uniqueName="[Measures].[__XL_Count Data_AnTuTu]" caption="__XL_Count Data_AnTuTu" measure="1" displayFolder="" measureGroup="Data_AnTuTu" count="0" hidden="1"/>
    <cacheHierarchy uniqueName="[Measures].[__No measures defined]" caption="__No measures defined" measure="1" displayFolder="" count="0" hidden="1"/>
  </cacheHierarchies>
  <kpis count="0"/>
  <dimensions count="4">
    <dimension name="Data_AnTuTu" uniqueName="[Data_AnTuTu]" caption="Data_AnTuTu"/>
    <dimension name="Data_CPU" uniqueName="[Data_CPU]" caption="Data_CPU"/>
    <dimension name="Data_ML" uniqueName="[Data_ML]" caption="Data_ML"/>
    <dimension measure="1" name="Measures" uniqueName="[Measures]" caption="Measures"/>
  </dimensions>
  <measureGroups count="3">
    <measureGroup name="Data_AnTuTu" caption="Data_AnTuTu"/>
    <measureGroup name="Data_CPU" caption="Data_CPU"/>
    <measureGroup name="Data_ML" caption="Data_ML"/>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ger Nathanael" refreshedDate="46178.951514699074" backgroundQuery="1" createdVersion="8" refreshedVersion="8" minRefreshableVersion="3" recordCount="0" supportSubquery="1" supportAdvancedDrill="1" xr:uid="{4EF7D181-EE58-4629-B2BF-5EE0A9BC03AE}">
  <cacheSource type="external" connectionId="4"/>
  <cacheFields count="3">
    <cacheField name="[Data_CPU].[CPU_Clean].[CPU_Clean]" caption="CPU_Clean" numFmtId="0" hierarchy="21" level="1">
      <sharedItems count="10">
        <s v="Kirin 810"/>
        <s v="Kirin 820"/>
        <s v="Kirin 9000"/>
        <s v="Kirin 9000E"/>
        <s v="Kirin 960"/>
        <s v="Kirin 970"/>
        <s v="Kirin 980"/>
        <s v="Kirin 985"/>
        <s v="Kirin 990 (4G)"/>
        <s v="Kirin 990 (5G)"/>
      </sharedItems>
    </cacheField>
    <cacheField name="[Measures].[Average of geekbenchMulti]" caption="Average of geekbenchMulti" numFmtId="0" hierarchy="39" level="32767"/>
    <cacheField name="[Data_CPU].[company].[company]" caption="company" numFmtId="0" hierarchy="11" level="1">
      <sharedItems containsSemiMixedTypes="0" containsNonDate="0" containsString="0"/>
    </cacheField>
  </cacheFields>
  <cacheHierarchies count="49">
    <cacheHierarchy uniqueName="[Data_AnTuTu].[Device]" caption="Device" attribute="1" defaultMemberUniqueName="[Data_AnTuTu].[Device].[All]" allUniqueName="[Data_AnTuTu].[Device].[All]" dimensionUniqueName="[Data_AnTuTu]" displayFolder="" count="0" memberValueDatatype="130" unbalanced="0"/>
    <cacheHierarchy uniqueName="[Data_AnTuTu].[brand]" caption="brand" attribute="1" defaultMemberUniqueName="[Data_AnTuTu].[brand].[All]" allUniqueName="[Data_AnTuTu].[brand].[All]" dimensionUniqueName="[Data_AnTuTu]" displayFolder="" count="0" memberValueDatatype="130" unbalanced="0"/>
    <cacheHierarchy uniqueName="[Data_AnTuTu].[CPU]" caption="CPU" attribute="1" defaultMemberUniqueName="[Data_AnTuTu].[CPU].[All]" allUniqueName="[Data_AnTuTu].[CPU].[All]" dimensionUniqueName="[Data_AnTuTu]" displayFolder="" count="0" memberValueDatatype="20" unbalanced="0"/>
    <cacheHierarchy uniqueName="[Data_AnTuTu].[GPU]" caption="GPU" attribute="1" defaultMemberUniqueName="[Data_AnTuTu].[GPU].[All]" allUniqueName="[Data_AnTuTu].[GPU].[All]" dimensionUniqueName="[Data_AnTuTu]" displayFolder="" count="0" memberValueDatatype="20" unbalanced="0"/>
    <cacheHierarchy uniqueName="[Data_AnTuTu].[MEM]" caption="MEM" attribute="1" defaultMemberUniqueName="[Data_AnTuTu].[MEM].[All]" allUniqueName="[Data_AnTuTu].[MEM].[All]" dimensionUniqueName="[Data_AnTuTu]" displayFolder="" count="0" memberValueDatatype="20" unbalanced="0"/>
    <cacheHierarchy uniqueName="[Data_AnTuTu].[UX]" caption="UX" attribute="1" defaultMemberUniqueName="[Data_AnTuTu].[UX].[All]" allUniqueName="[Data_AnTuTu].[UX].[All]" dimensionUniqueName="[Data_AnTuTu]" displayFolder="" count="0" memberValueDatatype="20" unbalanced="0"/>
    <cacheHierarchy uniqueName="[Data_AnTuTu].[Total Score]" caption="Total Score" attribute="1" defaultMemberUniqueName="[Data_AnTuTu].[Total Score].[All]" allUniqueName="[Data_AnTuTu].[Total Score].[All]" dimensionUniqueName="[Data_AnTuTu]" displayFolder="" count="0" memberValueDatatype="20" unbalanced="0"/>
    <cacheHierarchy uniqueName="[Data_AnTuTu].[Device_Clean]" caption="Device_Clean" attribute="1" defaultMemberUniqueName="[Data_AnTuTu].[Device_Clean].[All]" allUniqueName="[Data_AnTuTu].[Device_Clean].[All]" dimensionUniqueName="[Data_AnTuTu]" displayFolder="" count="0" memberValueDatatype="130" unbalanced="0"/>
    <cacheHierarchy uniqueName="[Data_AnTuTu].[CPU_Name_Bridge]" caption="CPU_Name_Bridge" attribute="1" defaultMemberUniqueName="[Data_AnTuTu].[CPU_Name_Bridge].[All]" allUniqueName="[Data_AnTuTu].[CPU_Name_Bridge].[All]" dimensionUniqueName="[Data_AnTuTu]" displayFolder="" count="0" memberValueDatatype="130" unbalanced="0"/>
    <cacheHierarchy uniqueName="[Data_AnTuTu].[Core_Count_Lookup]" caption="Core_Count_Lookup" attribute="1" defaultMemberUniqueName="[Data_AnTuTu].[Core_Count_Lookup].[All]" allUniqueName="[Data_AnTuTu].[Core_Count_Lookup].[All]" dimensionUniqueName="[Data_AnTuTu]" displayFolder="" count="0" memberValueDatatype="130" unbalanced="0"/>
    <cacheHierarchy uniqueName="[Data_CPU].[rank]" caption="rank" attribute="1" defaultMemberUniqueName="[Data_CPU].[rank].[All]" allUniqueName="[Data_CPU].[rank].[All]" dimensionUniqueName="[Data_CPU]" displayFolder="" count="0" memberValueDatatype="20" unbalanced="0"/>
    <cacheHierarchy uniqueName="[Data_CPU].[company]" caption="company" attribute="1" defaultMemberUniqueName="[Data_CPU].[company].[All]" allUniqueName="[Data_CPU].[company].[All]" dimensionUniqueName="[Data_CPU]" displayFolder="" count="2" memberValueDatatype="130" unbalanced="0">
      <fieldsUsage count="2">
        <fieldUsage x="-1"/>
        <fieldUsage x="2"/>
      </fieldsUsage>
    </cacheHierarchy>
    <cacheHierarchy uniqueName="[Data_CPU].[cpuName]" caption="cpuName" attribute="1" defaultMemberUniqueName="[Data_CPU].[cpuName].[All]" allUniqueName="[Data_CPU].[cpuName].[All]" dimensionUniqueName="[Data_CPU]" displayFolder="" count="0" memberValueDatatype="130" unbalanced="0"/>
    <cacheHierarchy uniqueName="[Data_CPU].[geekbenchSingle]" caption="geekbenchSingle" attribute="1" defaultMemberUniqueName="[Data_CPU].[geekbenchSingle].[All]" allUniqueName="[Data_CPU].[geekbenchSingle].[All]" dimensionUniqueName="[Data_CPU]" displayFolder="" count="0" memberValueDatatype="20" unbalanced="0"/>
    <cacheHierarchy uniqueName="[Data_CPU].[geekbenchMulti]" caption="geekbenchMulti" attribute="1" defaultMemberUniqueName="[Data_CPU].[geekbenchMulti].[All]" allUniqueName="[Data_CPU].[geekbenchMulti].[All]" dimensionUniqueName="[Data_CPU]" displayFolder="" count="0" memberValueDatatype="20" unbalanced="0"/>
    <cacheHierarchy uniqueName="[Data_CPU].[antutu9]" caption="antutu9" attribute="1" defaultMemberUniqueName="[Data_CPU].[antutu9].[All]" allUniqueName="[Data_CPU].[antutu9].[All]" dimensionUniqueName="[Data_CPU]" displayFolder="" count="0" memberValueDatatype="20" unbalanced="0"/>
    <cacheHierarchy uniqueName="[Data_CPU].[coreCount]" caption="coreCount" attribute="1" defaultMemberUniqueName="[Data_CPU].[coreCount].[All]" allUniqueName="[Data_CPU].[coreCount].[All]" dimensionUniqueName="[Data_CPU]" displayFolder="" count="2" memberValueDatatype="20" unbalanced="0"/>
    <cacheHierarchy uniqueName="[Data_CPU].[coreConfig]" caption="coreConfig" attribute="1" defaultMemberUniqueName="[Data_CPU].[coreConfig].[All]" allUniqueName="[Data_CPU].[coreConfig].[All]" dimensionUniqueName="[Data_CPU]" displayFolder="" count="0" memberValueDatatype="130" unbalanced="0"/>
    <cacheHierarchy uniqueName="[Data_CPU].[clockSpeed]" caption="clockSpeed" attribute="1" defaultMemberUniqueName="[Data_CPU].[clockSpeed].[All]" allUniqueName="[Data_CPU].[clockSpeed].[All]" dimensionUniqueName="[Data_CPU]" displayFolder="" count="0" memberValueDatatype="20" unbalanced="0"/>
    <cacheHierarchy uniqueName="[Data_CPU].[gpu]" caption="gpu" attribute="1" defaultMemberUniqueName="[Data_CPU].[gpu].[All]" allUniqueName="[Data_CPU].[gpu].[All]" dimensionUniqueName="[Data_CPU]" displayFolder="" count="0" memberValueDatatype="130" unbalanced="0"/>
    <cacheHierarchy uniqueName="[Data_CPU].[release_date]" caption="release_date" attribute="1" time="1" defaultMemberUniqueName="[Data_CPU].[release_date].[All]" allUniqueName="[Data_CPU].[release_date].[All]" dimensionUniqueName="[Data_CPU]" displayFolder="" count="0" memberValueDatatype="7" unbalanced="0"/>
    <cacheHierarchy uniqueName="[Data_CPU].[CPU_Clean]" caption="CPU_Clean" attribute="1" defaultMemberUniqueName="[Data_CPU].[CPU_Clean].[All]" allUniqueName="[Data_CPU].[CPU_Clean].[All]" dimensionUniqueName="[Data_CPU]" displayFolder="" count="2" memberValueDatatype="130" unbalanced="0">
      <fieldsUsage count="2">
        <fieldUsage x="-1"/>
        <fieldUsage x="0"/>
      </fieldsUsage>
    </cacheHierarchy>
    <cacheHierarchy uniqueName="[Data_CPU].[release_year]" caption="release_year" attribute="1" defaultMemberUniqueName="[Data_CPU].[release_year].[All]" allUniqueName="[Data_CPU].[release_year].[All]" dimensionUniqueName="[Data_CPU]" displayFolder="" count="0" memberValueDatatype="20" unbalanced="0"/>
    <cacheHierarchy uniqueName="[Data_CPU].[PerformanceTier]" caption="PerformanceTier" attribute="1" defaultMemberUniqueName="[Data_CPU].[PerformanceTier].[All]" allUniqueName="[Data_CPU].[PerformanceTier].[All]" dimensionUniqueName="[Data_CPU]" displayFolder="" count="0" memberValueDatatype="130" unbalanced="0"/>
    <cacheHierarchy uniqueName="[Data_CPU].[ScorePerGHz]" caption="ScorePerGHz" attribute="1" defaultMemberUniqueName="[Data_CPU].[ScorePerGHz].[All]" allUniqueName="[Data_CPU].[ScorePerGHz].[All]" dimensionUniqueName="[Data_CPU]" displayFolder="" count="0" memberValueDatatype="20" unbalanced="0"/>
    <cacheHierarchy uniqueName="[Data_CPU].[ClockCategory]" caption="ClockCategory" attribute="1" defaultMemberUniqueName="[Data_CPU].[ClockCategory].[All]" allUniqueName="[Data_CPU].[ClockCategory].[All]" dimensionUniqueName="[Data_CPU]" displayFolder="" count="0" memberValueDatatype="130" unbalanced="0"/>
    <cacheHierarchy uniqueName="[Data_CPU].[AnTuTuTier]" caption="AnTuTuTier" attribute="1" defaultMemberUniqueName="[Data_CPU].[AnTuTuTier].[All]" allUniqueName="[Data_CPU].[AnTuTuTier].[All]" dimensionUniqueName="[Data_CPU]" displayFolder="" count="0" memberValueDatatype="130" unbalanced="0"/>
    <cacheHierarchy uniqueName="[Data_ML].[device]" caption="device" attribute="1" defaultMemberUniqueName="[Data_ML].[device].[All]" allUniqueName="[Data_ML].[device].[All]" dimensionUniqueName="[Data_ML]" displayFolder="" count="0" memberValueDatatype="130" unbalanced="0"/>
    <cacheHierarchy uniqueName="[Data_ML].[company]" caption="company" attribute="1" defaultMemberUniqueName="[Data_ML].[company].[All]" allUniqueName="[Data_ML].[company].[All]" dimensionUniqueName="[Data_ML]" displayFolder="" count="0" memberValueDatatype="130" unbalanced="0"/>
    <cacheHierarchy uniqueName="[Data_ML].[cpuName]" caption="cpuName" attribute="1" defaultMemberUniqueName="[Data_ML].[cpuName].[All]" allUniqueName="[Data_ML].[cpuName].[All]" dimensionUniqueName="[Data_ML]" displayFolder="" count="0" memberValueDatatype="130" unbalanced="0"/>
    <cacheHierarchy uniqueName="[Data_ML].[cores]" caption="cores" attribute="1" defaultMemberUniqueName="[Data_ML].[cores].[All]" allUniqueName="[Data_ML].[cores].[All]" dimensionUniqueName="[Data_ML]" displayFolder="" count="0" memberValueDatatype="20" unbalanced="0"/>
    <cacheHierarchy uniqueName="[Data_ML].[clock]" caption="clock" attribute="1" defaultMemberUniqueName="[Data_ML].[clock].[All]" allUniqueName="[Data_ML].[clock].[All]" dimensionUniqueName="[Data_ML]" displayFolder="" count="0" memberValueDatatype="20" unbalanced="0"/>
    <cacheHierarchy uniqueName="[Data_ML].[cpuScore]" caption="cpuScore" attribute="1" defaultMemberUniqueName="[Data_ML].[cpuScore].[All]" allUniqueName="[Data_ML].[cpuScore].[All]" dimensionUniqueName="[Data_ML]" displayFolder="" count="0" memberValueDatatype="20" unbalanced="0"/>
    <cacheHierarchy uniqueName="[Data_ML].[gpuScore]" caption="gpuScore" attribute="1" defaultMemberUniqueName="[Data_ML].[gpuScore].[All]" allUniqueName="[Data_ML].[gpuScore].[All]" dimensionUniqueName="[Data_ML]" displayFolder="" count="0" memberValueDatatype="20" unbalanced="0"/>
    <cacheHierarchy uniqueName="[Data_ML].[npuScore]" caption="npuScore" attribute="1" defaultMemberUniqueName="[Data_ML].[npuScore].[All]" allUniqueName="[Data_ML].[npuScore].[All]" dimensionUniqueName="[Data_ML]" displayFolder="" count="0" memberValueDatatype="20" unbalanced="0"/>
    <cacheHierarchy uniqueName="[Data_ML].[release_date]" caption="release_date" attribute="1" time="1" defaultMemberUniqueName="[Data_ML].[release_date].[All]" allUniqueName="[Data_ML].[release_date].[All]" dimensionUniqueName="[Data_ML]" displayFolder="" count="0" memberValueDatatype="7" unbalanced="0"/>
    <cacheHierarchy uniqueName="[Data_ML].[CPU_Clean]" caption="CPU_Clean" attribute="1" defaultMemberUniqueName="[Data_ML].[CPU_Clean].[All]" allUniqueName="[Data_ML].[CPU_Clean].[All]" dimensionUniqueName="[Data_ML]" displayFolder="" count="0" memberValueDatatype="130" unbalanced="0"/>
    <cacheHierarchy uniqueName="[Data_ML].[release_year]" caption="release_year" attribute="1" defaultMemberUniqueName="[Data_ML].[release_year].[All]" allUniqueName="[Data_ML].[release_year].[All]" dimensionUniqueName="[Data_ML]" displayFolder="" count="0" memberValueDatatype="20" unbalanced="0"/>
    <cacheHierarchy uniqueName="[Measures].[Sum of geekbenchMulti]" caption="Sum of geekbenchMulti" measure="1" displayFolder="" measureGroup="Data_CPU" count="0">
      <extLst>
        <ext xmlns:x15="http://schemas.microsoft.com/office/spreadsheetml/2010/11/main" uri="{B97F6D7D-B522-45F9-BDA1-12C45D357490}">
          <x15:cacheHierarchy aggregatedColumn="14"/>
        </ext>
      </extLst>
    </cacheHierarchy>
    <cacheHierarchy uniqueName="[Measures].[Average of geekbenchMulti]" caption="Average of geekbenchMulti" measure="1" displayFolder="" measureGroup="Data_CPU" count="0" oneField="1">
      <fieldsUsage count="1">
        <fieldUsage x="1"/>
      </fieldsUsage>
      <extLst>
        <ext xmlns:x15="http://schemas.microsoft.com/office/spreadsheetml/2010/11/main" uri="{B97F6D7D-B522-45F9-BDA1-12C45D357490}">
          <x15:cacheHierarchy aggregatedColumn="14"/>
        </ext>
      </extLst>
    </cacheHierarchy>
    <cacheHierarchy uniqueName="[Measures].[Sum of geekbenchSingle]" caption="Sum of geekbenchSingle" measure="1" displayFolder="" measureGroup="Data_CPU" count="0">
      <extLst>
        <ext xmlns:x15="http://schemas.microsoft.com/office/spreadsheetml/2010/11/main" uri="{B97F6D7D-B522-45F9-BDA1-12C45D357490}">
          <x15:cacheHierarchy aggregatedColumn="13"/>
        </ext>
      </extLst>
    </cacheHierarchy>
    <cacheHierarchy uniqueName="[Measures].[Count of CPU_Clean]" caption="Count of CPU_Clean" measure="1" displayFolder="" measureGroup="Data_CPU" count="0">
      <extLst>
        <ext xmlns:x15="http://schemas.microsoft.com/office/spreadsheetml/2010/11/main" uri="{B97F6D7D-B522-45F9-BDA1-12C45D357490}">
          <x15:cacheHierarchy aggregatedColumn="21"/>
        </ext>
      </extLst>
    </cacheHierarchy>
    <cacheHierarchy uniqueName="[Measures].[Avg_GeekbenchMulti]" caption="Avg_GeekbenchMulti" measure="1" displayFolder="" measureGroup="Data_CPU" count="0"/>
    <cacheHierarchy uniqueName="[Measures].[Avg_AnTuTuScore]" caption="Avg_AnTuTuScore" measure="1" displayFolder="" measureGroup="Data_AnTuTu" count="0"/>
    <cacheHierarchy uniqueName="[Measures].[Avg_CPUAnTuTu]" caption="Avg_CPUAnTuTu" measure="1" displayFolder="" measureGroup="Data_CPU" count="0"/>
    <cacheHierarchy uniqueName="[Measures].[__XL_Count Data_CPU]" caption="__XL_Count Data_CPU" measure="1" displayFolder="" measureGroup="Data_CPU" count="0" hidden="1"/>
    <cacheHierarchy uniqueName="[Measures].[__XL_Count Data_ML]" caption="__XL_Count Data_ML" measure="1" displayFolder="" measureGroup="Data_ML" count="0" hidden="1"/>
    <cacheHierarchy uniqueName="[Measures].[__XL_Count Data_AnTuTu]" caption="__XL_Count Data_AnTuTu" measure="1" displayFolder="" measureGroup="Data_AnTuTu" count="0" hidden="1"/>
    <cacheHierarchy uniqueName="[Measures].[__No measures defined]" caption="__No measures defined" measure="1" displayFolder="" count="0" hidden="1"/>
  </cacheHierarchies>
  <kpis count="0"/>
  <dimensions count="4">
    <dimension name="Data_AnTuTu" uniqueName="[Data_AnTuTu]" caption="Data_AnTuTu"/>
    <dimension name="Data_CPU" uniqueName="[Data_CPU]" caption="Data_CPU"/>
    <dimension name="Data_ML" uniqueName="[Data_ML]" caption="Data_ML"/>
    <dimension measure="1" name="Measures" uniqueName="[Measures]" caption="Measures"/>
  </dimensions>
  <measureGroups count="3">
    <measureGroup name="Data_AnTuTu" caption="Data_AnTuTu"/>
    <measureGroup name="Data_CPU" caption="Data_CPU"/>
    <measureGroup name="Data_ML" caption="Data_ML"/>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ger Nathanael" refreshedDate="46171.661781365743" backgroundQuery="1" createdVersion="3" refreshedVersion="8" minRefreshableVersion="3" recordCount="0" supportSubquery="1" supportAdvancedDrill="1" xr:uid="{322DC239-EA7B-4680-BD27-B503A2FF86C0}">
  <cacheSource type="external" connectionId="4">
    <extLst>
      <ext xmlns:x14="http://schemas.microsoft.com/office/spreadsheetml/2009/9/main" uri="{F057638F-6D5F-4e77-A914-E7F072B9BCA8}">
        <x14:sourceConnection name="ThisWorkbookDataModel"/>
      </ext>
    </extLst>
  </cacheSource>
  <cacheFields count="0"/>
  <cacheHierarchies count="49">
    <cacheHierarchy uniqueName="[Data_AnTuTu].[Device]" caption="Device" attribute="1" defaultMemberUniqueName="[Data_AnTuTu].[Device].[All]" allUniqueName="[Data_AnTuTu].[Device].[All]" dimensionUniqueName="[Data_AnTuTu]" displayFolder="" count="0" memberValueDatatype="130" unbalanced="0"/>
    <cacheHierarchy uniqueName="[Data_AnTuTu].[brand]" caption="brand" attribute="1" defaultMemberUniqueName="[Data_AnTuTu].[brand].[All]" allUniqueName="[Data_AnTuTu].[brand].[All]" dimensionUniqueName="[Data_AnTuTu]" displayFolder="" count="0" memberValueDatatype="130" unbalanced="0"/>
    <cacheHierarchy uniqueName="[Data_AnTuTu].[CPU]" caption="CPU" attribute="1" defaultMemberUniqueName="[Data_AnTuTu].[CPU].[All]" allUniqueName="[Data_AnTuTu].[CPU].[All]" dimensionUniqueName="[Data_AnTuTu]" displayFolder="" count="0" memberValueDatatype="20" unbalanced="0"/>
    <cacheHierarchy uniqueName="[Data_AnTuTu].[GPU]" caption="GPU" attribute="1" defaultMemberUniqueName="[Data_AnTuTu].[GPU].[All]" allUniqueName="[Data_AnTuTu].[GPU].[All]" dimensionUniqueName="[Data_AnTuTu]" displayFolder="" count="0" memberValueDatatype="20" unbalanced="0"/>
    <cacheHierarchy uniqueName="[Data_AnTuTu].[MEM]" caption="MEM" attribute="1" defaultMemberUniqueName="[Data_AnTuTu].[MEM].[All]" allUniqueName="[Data_AnTuTu].[MEM].[All]" dimensionUniqueName="[Data_AnTuTu]" displayFolder="" count="0" memberValueDatatype="20" unbalanced="0"/>
    <cacheHierarchy uniqueName="[Data_AnTuTu].[UX]" caption="UX" attribute="1" defaultMemberUniqueName="[Data_AnTuTu].[UX].[All]" allUniqueName="[Data_AnTuTu].[UX].[All]" dimensionUniqueName="[Data_AnTuTu]" displayFolder="" count="0" memberValueDatatype="20" unbalanced="0"/>
    <cacheHierarchy uniqueName="[Data_AnTuTu].[Total Score]" caption="Total Score" attribute="1" defaultMemberUniqueName="[Data_AnTuTu].[Total Score].[All]" allUniqueName="[Data_AnTuTu].[Total Score].[All]" dimensionUniqueName="[Data_AnTuTu]" displayFolder="" count="0" memberValueDatatype="20" unbalanced="0"/>
    <cacheHierarchy uniqueName="[Data_AnTuTu].[Device_Clean]" caption="Device_Clean" attribute="1" defaultMemberUniqueName="[Data_AnTuTu].[Device_Clean].[All]" allUniqueName="[Data_AnTuTu].[Device_Clean].[All]" dimensionUniqueName="[Data_AnTuTu]" displayFolder="" count="0" memberValueDatatype="130" unbalanced="0"/>
    <cacheHierarchy uniqueName="[Data_AnTuTu].[CPU_Name_Bridge]" caption="CPU_Name_Bridge" attribute="1" defaultMemberUniqueName="[Data_AnTuTu].[CPU_Name_Bridge].[All]" allUniqueName="[Data_AnTuTu].[CPU_Name_Bridge].[All]" dimensionUniqueName="[Data_AnTuTu]" displayFolder="" count="0" memberValueDatatype="130" unbalanced="0"/>
    <cacheHierarchy uniqueName="[Data_AnTuTu].[Core_Count_Lookup]" caption="Core_Count_Lookup" attribute="1" defaultMemberUniqueName="[Data_AnTuTu].[Core_Count_Lookup].[All]" allUniqueName="[Data_AnTuTu].[Core_Count_Lookup].[All]" dimensionUniqueName="[Data_AnTuTu]" displayFolder="" count="0" memberValueDatatype="130" unbalanced="0"/>
    <cacheHierarchy uniqueName="[Data_CPU].[rank]" caption="rank" attribute="1" defaultMemberUniqueName="[Data_CPU].[rank].[All]" allUniqueName="[Data_CPU].[rank].[All]" dimensionUniqueName="[Data_CPU]" displayFolder="" count="0" memberValueDatatype="20" unbalanced="0"/>
    <cacheHierarchy uniqueName="[Data_CPU].[company]" caption="company" attribute="1" defaultMemberUniqueName="[Data_CPU].[company].[All]" allUniqueName="[Data_CPU].[company].[All]" dimensionUniqueName="[Data_CPU]" displayFolder="" count="2" memberValueDatatype="130" unbalanced="0"/>
    <cacheHierarchy uniqueName="[Data_CPU].[cpuName]" caption="cpuName" attribute="1" defaultMemberUniqueName="[Data_CPU].[cpuName].[All]" allUniqueName="[Data_CPU].[cpuName].[All]" dimensionUniqueName="[Data_CPU]" displayFolder="" count="0" memberValueDatatype="130" unbalanced="0"/>
    <cacheHierarchy uniqueName="[Data_CPU].[geekbenchSingle]" caption="geekbenchSingle" attribute="1" defaultMemberUniqueName="[Data_CPU].[geekbenchSingle].[All]" allUniqueName="[Data_CPU].[geekbenchSingle].[All]" dimensionUniqueName="[Data_CPU]" displayFolder="" count="0" memberValueDatatype="20" unbalanced="0"/>
    <cacheHierarchy uniqueName="[Data_CPU].[geekbenchMulti]" caption="geekbenchMulti" attribute="1" defaultMemberUniqueName="[Data_CPU].[geekbenchMulti].[All]" allUniqueName="[Data_CPU].[geekbenchMulti].[All]" dimensionUniqueName="[Data_CPU]" displayFolder="" count="0" memberValueDatatype="20" unbalanced="0"/>
    <cacheHierarchy uniqueName="[Data_CPU].[antutu9]" caption="antutu9" attribute="1" defaultMemberUniqueName="[Data_CPU].[antutu9].[All]" allUniqueName="[Data_CPU].[antutu9].[All]" dimensionUniqueName="[Data_CPU]" displayFolder="" count="0" memberValueDatatype="20" unbalanced="0"/>
    <cacheHierarchy uniqueName="[Data_CPU].[coreCount]" caption="coreCount" attribute="1" defaultMemberUniqueName="[Data_CPU].[coreCount].[All]" allUniqueName="[Data_CPU].[coreCount].[All]" dimensionUniqueName="[Data_CPU]" displayFolder="" count="0" memberValueDatatype="20" unbalanced="0"/>
    <cacheHierarchy uniqueName="[Data_CPU].[coreConfig]" caption="coreConfig" attribute="1" defaultMemberUniqueName="[Data_CPU].[coreConfig].[All]" allUniqueName="[Data_CPU].[coreConfig].[All]" dimensionUniqueName="[Data_CPU]" displayFolder="" count="0" memberValueDatatype="130" unbalanced="0"/>
    <cacheHierarchy uniqueName="[Data_CPU].[clockSpeed]" caption="clockSpeed" attribute="1" defaultMemberUniqueName="[Data_CPU].[clockSpeed].[All]" allUniqueName="[Data_CPU].[clockSpeed].[All]" dimensionUniqueName="[Data_CPU]" displayFolder="" count="0" memberValueDatatype="20" unbalanced="0"/>
    <cacheHierarchy uniqueName="[Data_CPU].[gpu]" caption="gpu" attribute="1" defaultMemberUniqueName="[Data_CPU].[gpu].[All]" allUniqueName="[Data_CPU].[gpu].[All]" dimensionUniqueName="[Data_CPU]" displayFolder="" count="0" memberValueDatatype="130" unbalanced="0"/>
    <cacheHierarchy uniqueName="[Data_CPU].[release_date]" caption="release_date" attribute="1" time="1" defaultMemberUniqueName="[Data_CPU].[release_date].[All]" allUniqueName="[Data_CPU].[release_date].[All]" dimensionUniqueName="[Data_CPU]" displayFolder="" count="0" memberValueDatatype="7" unbalanced="0"/>
    <cacheHierarchy uniqueName="[Data_CPU].[CPU_Clean]" caption="CPU_Clean" attribute="1" defaultMemberUniqueName="[Data_CPU].[CPU_Clean].[All]" allUniqueName="[Data_CPU].[CPU_Clean].[All]" dimensionUniqueName="[Data_CPU]" displayFolder="" count="0" memberValueDatatype="130" unbalanced="0"/>
    <cacheHierarchy uniqueName="[Data_CPU].[release_year]" caption="release_year" attribute="1" defaultMemberUniqueName="[Data_CPU].[release_year].[All]" allUniqueName="[Data_CPU].[release_year].[All]" dimensionUniqueName="[Data_CPU]" displayFolder="" count="0" memberValueDatatype="20" unbalanced="0"/>
    <cacheHierarchy uniqueName="[Data_CPU].[PerformanceTier]" caption="PerformanceTier" attribute="1" defaultMemberUniqueName="[Data_CPU].[PerformanceTier].[All]" allUniqueName="[Data_CPU].[PerformanceTier].[All]" dimensionUniqueName="[Data_CPU]" displayFolder="" count="0" memberValueDatatype="130" unbalanced="0"/>
    <cacheHierarchy uniqueName="[Data_CPU].[ScorePerGHz]" caption="ScorePerGHz" attribute="1" defaultMemberUniqueName="[Data_CPU].[ScorePerGHz].[All]" allUniqueName="[Data_CPU].[ScorePerGHz].[All]" dimensionUniqueName="[Data_CPU]" displayFolder="" count="0" memberValueDatatype="20" unbalanced="0"/>
    <cacheHierarchy uniqueName="[Data_CPU].[ClockCategory]" caption="ClockCategory" attribute="1" defaultMemberUniqueName="[Data_CPU].[ClockCategory].[All]" allUniqueName="[Data_CPU].[ClockCategory].[All]" dimensionUniqueName="[Data_CPU]" displayFolder="" count="0" memberValueDatatype="130" unbalanced="0"/>
    <cacheHierarchy uniqueName="[Data_CPU].[AnTuTuTier]" caption="AnTuTuTier" attribute="1" defaultMemberUniqueName="[Data_CPU].[AnTuTuTier].[All]" allUniqueName="[Data_CPU].[AnTuTuTier].[All]" dimensionUniqueName="[Data_CPU]" displayFolder="" count="0" memberValueDatatype="130" unbalanced="0"/>
    <cacheHierarchy uniqueName="[Data_ML].[device]" caption="device" attribute="1" defaultMemberUniqueName="[Data_ML].[device].[All]" allUniqueName="[Data_ML].[device].[All]" dimensionUniqueName="[Data_ML]" displayFolder="" count="0" memberValueDatatype="130" unbalanced="0"/>
    <cacheHierarchy uniqueName="[Data_ML].[company]" caption="company" attribute="1" defaultMemberUniqueName="[Data_ML].[company].[All]" allUniqueName="[Data_ML].[company].[All]" dimensionUniqueName="[Data_ML]" displayFolder="" count="0" memberValueDatatype="130" unbalanced="0"/>
    <cacheHierarchy uniqueName="[Data_ML].[cpuName]" caption="cpuName" attribute="1" defaultMemberUniqueName="[Data_ML].[cpuName].[All]" allUniqueName="[Data_ML].[cpuName].[All]" dimensionUniqueName="[Data_ML]" displayFolder="" count="0" memberValueDatatype="130" unbalanced="0"/>
    <cacheHierarchy uniqueName="[Data_ML].[cores]" caption="cores" attribute="1" defaultMemberUniqueName="[Data_ML].[cores].[All]" allUniqueName="[Data_ML].[cores].[All]" dimensionUniqueName="[Data_ML]" displayFolder="" count="0" memberValueDatatype="20" unbalanced="0"/>
    <cacheHierarchy uniqueName="[Data_ML].[clock]" caption="clock" attribute="1" defaultMemberUniqueName="[Data_ML].[clock].[All]" allUniqueName="[Data_ML].[clock].[All]" dimensionUniqueName="[Data_ML]" displayFolder="" count="0" memberValueDatatype="20" unbalanced="0"/>
    <cacheHierarchy uniqueName="[Data_ML].[cpuScore]" caption="cpuScore" attribute="1" defaultMemberUniqueName="[Data_ML].[cpuScore].[All]" allUniqueName="[Data_ML].[cpuScore].[All]" dimensionUniqueName="[Data_ML]" displayFolder="" count="0" memberValueDatatype="20" unbalanced="0"/>
    <cacheHierarchy uniqueName="[Data_ML].[gpuScore]" caption="gpuScore" attribute="1" defaultMemberUniqueName="[Data_ML].[gpuScore].[All]" allUniqueName="[Data_ML].[gpuScore].[All]" dimensionUniqueName="[Data_ML]" displayFolder="" count="0" memberValueDatatype="20" unbalanced="0"/>
    <cacheHierarchy uniqueName="[Data_ML].[npuScore]" caption="npuScore" attribute="1" defaultMemberUniqueName="[Data_ML].[npuScore].[All]" allUniqueName="[Data_ML].[npuScore].[All]" dimensionUniqueName="[Data_ML]" displayFolder="" count="0" memberValueDatatype="20" unbalanced="0"/>
    <cacheHierarchy uniqueName="[Data_ML].[release_date]" caption="release_date" attribute="1" time="1" defaultMemberUniqueName="[Data_ML].[release_date].[All]" allUniqueName="[Data_ML].[release_date].[All]" dimensionUniqueName="[Data_ML]" displayFolder="" count="0" memberValueDatatype="7" unbalanced="0"/>
    <cacheHierarchy uniqueName="[Data_ML].[CPU_Clean]" caption="CPU_Clean" attribute="1" defaultMemberUniqueName="[Data_ML].[CPU_Clean].[All]" allUniqueName="[Data_ML].[CPU_Clean].[All]" dimensionUniqueName="[Data_ML]" displayFolder="" count="0" memberValueDatatype="130" unbalanced="0"/>
    <cacheHierarchy uniqueName="[Data_ML].[release_year]" caption="release_year" attribute="1" defaultMemberUniqueName="[Data_ML].[release_year].[All]" allUniqueName="[Data_ML].[release_year].[All]" dimensionUniqueName="[Data_ML]" displayFolder="" count="0" memberValueDatatype="20" unbalanced="0"/>
    <cacheHierarchy uniqueName="[Measures].[Sum of geekbenchMulti]" caption="Sum of geekbenchMulti" measure="1" displayFolder="" measureGroup="Data_CPU" count="0">
      <extLst>
        <ext xmlns:x15="http://schemas.microsoft.com/office/spreadsheetml/2010/11/main" uri="{B97F6D7D-B522-45F9-BDA1-12C45D357490}">
          <x15:cacheHierarchy aggregatedColumn="14"/>
        </ext>
      </extLst>
    </cacheHierarchy>
    <cacheHierarchy uniqueName="[Measures].[Average of geekbenchMulti]" caption="Average of geekbenchMulti" measure="1" displayFolder="" measureGroup="Data_CPU" count="0">
      <extLst>
        <ext xmlns:x15="http://schemas.microsoft.com/office/spreadsheetml/2010/11/main" uri="{B97F6D7D-B522-45F9-BDA1-12C45D357490}">
          <x15:cacheHierarchy aggregatedColumn="14"/>
        </ext>
      </extLst>
    </cacheHierarchy>
    <cacheHierarchy uniqueName="[Measures].[Sum of geekbenchSingle]" caption="Sum of geekbenchSingle" measure="1" displayFolder="" measureGroup="Data_CPU" count="0">
      <extLst>
        <ext xmlns:x15="http://schemas.microsoft.com/office/spreadsheetml/2010/11/main" uri="{B97F6D7D-B522-45F9-BDA1-12C45D357490}">
          <x15:cacheHierarchy aggregatedColumn="13"/>
        </ext>
      </extLst>
    </cacheHierarchy>
    <cacheHierarchy uniqueName="[Measures].[Count of CPU_Clean]" caption="Count of CPU_Clean" measure="1" displayFolder="" measureGroup="Data_CPU" count="0">
      <extLst>
        <ext xmlns:x15="http://schemas.microsoft.com/office/spreadsheetml/2010/11/main" uri="{B97F6D7D-B522-45F9-BDA1-12C45D357490}">
          <x15:cacheHierarchy aggregatedColumn="21"/>
        </ext>
      </extLst>
    </cacheHierarchy>
    <cacheHierarchy uniqueName="[Measures].[Avg_GeekbenchMulti]" caption="Avg_GeekbenchMulti" measure="1" displayFolder="" measureGroup="Data_CPU" count="0"/>
    <cacheHierarchy uniqueName="[Measures].[Avg_AnTuTuScore]" caption="Avg_AnTuTuScore" measure="1" displayFolder="" measureGroup="Data_AnTuTu" count="0"/>
    <cacheHierarchy uniqueName="[Measures].[Avg_CPUAnTuTu]" caption="Avg_CPUAnTuTu" measure="1" displayFolder="" measureGroup="Data_CPU" count="0"/>
    <cacheHierarchy uniqueName="[Measures].[__XL_Count Data_CPU]" caption="__XL_Count Data_CPU" measure="1" displayFolder="" measureGroup="Data_CPU" count="0" hidden="1"/>
    <cacheHierarchy uniqueName="[Measures].[__XL_Count Data_ML]" caption="__XL_Count Data_ML" measure="1" displayFolder="" measureGroup="Data_ML" count="0" hidden="1"/>
    <cacheHierarchy uniqueName="[Measures].[__XL_Count Data_AnTuTu]" caption="__XL_Count Data_AnTuTu" measure="1" displayFolder="" measureGroup="Data_AnTuTu"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54756111"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ger Nathanael" refreshedDate="46171.661792245373" backgroundQuery="1" createdVersion="3" refreshedVersion="8" minRefreshableVersion="3" recordCount="0" supportSubquery="1" supportAdvancedDrill="1" xr:uid="{0CE65806-2531-4549-BFAF-88E2EB148634}">
  <cacheSource type="external" connectionId="4">
    <extLst>
      <ext xmlns:x14="http://schemas.microsoft.com/office/spreadsheetml/2009/9/main" uri="{F057638F-6D5F-4e77-A914-E7F072B9BCA8}">
        <x14:sourceConnection name="ThisWorkbookDataModel"/>
      </ext>
    </extLst>
  </cacheSource>
  <cacheFields count="0"/>
  <cacheHierarchies count="49">
    <cacheHierarchy uniqueName="[Data_AnTuTu].[Device]" caption="Device" attribute="1" defaultMemberUniqueName="[Data_AnTuTu].[Device].[All]" allUniqueName="[Data_AnTuTu].[Device].[All]" dimensionUniqueName="[Data_AnTuTu]" displayFolder="" count="0" memberValueDatatype="130" unbalanced="0"/>
    <cacheHierarchy uniqueName="[Data_AnTuTu].[brand]" caption="brand" attribute="1" defaultMemberUniqueName="[Data_AnTuTu].[brand].[All]" allUniqueName="[Data_AnTuTu].[brand].[All]" dimensionUniqueName="[Data_AnTuTu]" displayFolder="" count="0" memberValueDatatype="130" unbalanced="0"/>
    <cacheHierarchy uniqueName="[Data_AnTuTu].[CPU]" caption="CPU" attribute="1" defaultMemberUniqueName="[Data_AnTuTu].[CPU].[All]" allUniqueName="[Data_AnTuTu].[CPU].[All]" dimensionUniqueName="[Data_AnTuTu]" displayFolder="" count="0" memberValueDatatype="20" unbalanced="0"/>
    <cacheHierarchy uniqueName="[Data_AnTuTu].[GPU]" caption="GPU" attribute="1" defaultMemberUniqueName="[Data_AnTuTu].[GPU].[All]" allUniqueName="[Data_AnTuTu].[GPU].[All]" dimensionUniqueName="[Data_AnTuTu]" displayFolder="" count="0" memberValueDatatype="20" unbalanced="0"/>
    <cacheHierarchy uniqueName="[Data_AnTuTu].[MEM]" caption="MEM" attribute="1" defaultMemberUniqueName="[Data_AnTuTu].[MEM].[All]" allUniqueName="[Data_AnTuTu].[MEM].[All]" dimensionUniqueName="[Data_AnTuTu]" displayFolder="" count="0" memberValueDatatype="20" unbalanced="0"/>
    <cacheHierarchy uniqueName="[Data_AnTuTu].[UX]" caption="UX" attribute="1" defaultMemberUniqueName="[Data_AnTuTu].[UX].[All]" allUniqueName="[Data_AnTuTu].[UX].[All]" dimensionUniqueName="[Data_AnTuTu]" displayFolder="" count="0" memberValueDatatype="20" unbalanced="0"/>
    <cacheHierarchy uniqueName="[Data_AnTuTu].[Total Score]" caption="Total Score" attribute="1" defaultMemberUniqueName="[Data_AnTuTu].[Total Score].[All]" allUniqueName="[Data_AnTuTu].[Total Score].[All]" dimensionUniqueName="[Data_AnTuTu]" displayFolder="" count="0" memberValueDatatype="20" unbalanced="0"/>
    <cacheHierarchy uniqueName="[Data_AnTuTu].[Device_Clean]" caption="Device_Clean" attribute="1" defaultMemberUniqueName="[Data_AnTuTu].[Device_Clean].[All]" allUniqueName="[Data_AnTuTu].[Device_Clean].[All]" dimensionUniqueName="[Data_AnTuTu]" displayFolder="" count="0" memberValueDatatype="130" unbalanced="0"/>
    <cacheHierarchy uniqueName="[Data_AnTuTu].[CPU_Name_Bridge]" caption="CPU_Name_Bridge" attribute="1" defaultMemberUniqueName="[Data_AnTuTu].[CPU_Name_Bridge].[All]" allUniqueName="[Data_AnTuTu].[CPU_Name_Bridge].[All]" dimensionUniqueName="[Data_AnTuTu]" displayFolder="" count="0" memberValueDatatype="130" unbalanced="0"/>
    <cacheHierarchy uniqueName="[Data_AnTuTu].[Core_Count_Lookup]" caption="Core_Count_Lookup" attribute="1" defaultMemberUniqueName="[Data_AnTuTu].[Core_Count_Lookup].[All]" allUniqueName="[Data_AnTuTu].[Core_Count_Lookup].[All]" dimensionUniqueName="[Data_AnTuTu]" displayFolder="" count="0" memberValueDatatype="130" unbalanced="0"/>
    <cacheHierarchy uniqueName="[Data_CPU].[rank]" caption="rank" attribute="1" defaultMemberUniqueName="[Data_CPU].[rank].[All]" allUniqueName="[Data_CPU].[rank].[All]" dimensionUniqueName="[Data_CPU]" displayFolder="" count="0" memberValueDatatype="20" unbalanced="0"/>
    <cacheHierarchy uniqueName="[Data_CPU].[company]" caption="company" attribute="1" defaultMemberUniqueName="[Data_CPU].[company].[All]" allUniqueName="[Data_CPU].[company].[All]" dimensionUniqueName="[Data_CPU]" displayFolder="" count="0" memberValueDatatype="130" unbalanced="0"/>
    <cacheHierarchy uniqueName="[Data_CPU].[cpuName]" caption="cpuName" attribute="1" defaultMemberUniqueName="[Data_CPU].[cpuName].[All]" allUniqueName="[Data_CPU].[cpuName].[All]" dimensionUniqueName="[Data_CPU]" displayFolder="" count="0" memberValueDatatype="130" unbalanced="0"/>
    <cacheHierarchy uniqueName="[Data_CPU].[geekbenchSingle]" caption="geekbenchSingle" attribute="1" defaultMemberUniqueName="[Data_CPU].[geekbenchSingle].[All]" allUniqueName="[Data_CPU].[geekbenchSingle].[All]" dimensionUniqueName="[Data_CPU]" displayFolder="" count="0" memberValueDatatype="20" unbalanced="0"/>
    <cacheHierarchy uniqueName="[Data_CPU].[geekbenchMulti]" caption="geekbenchMulti" attribute="1" defaultMemberUniqueName="[Data_CPU].[geekbenchMulti].[All]" allUniqueName="[Data_CPU].[geekbenchMulti].[All]" dimensionUniqueName="[Data_CPU]" displayFolder="" count="0" memberValueDatatype="20" unbalanced="0"/>
    <cacheHierarchy uniqueName="[Data_CPU].[antutu9]" caption="antutu9" attribute="1" defaultMemberUniqueName="[Data_CPU].[antutu9].[All]" allUniqueName="[Data_CPU].[antutu9].[All]" dimensionUniqueName="[Data_CPU]" displayFolder="" count="0" memberValueDatatype="20" unbalanced="0"/>
    <cacheHierarchy uniqueName="[Data_CPU].[coreCount]" caption="coreCount" attribute="1" defaultMemberUniqueName="[Data_CPU].[coreCount].[All]" allUniqueName="[Data_CPU].[coreCount].[All]" dimensionUniqueName="[Data_CPU]" displayFolder="" count="2" memberValueDatatype="20" unbalanced="0"/>
    <cacheHierarchy uniqueName="[Data_CPU].[coreConfig]" caption="coreConfig" attribute="1" defaultMemberUniqueName="[Data_CPU].[coreConfig].[All]" allUniqueName="[Data_CPU].[coreConfig].[All]" dimensionUniqueName="[Data_CPU]" displayFolder="" count="0" memberValueDatatype="130" unbalanced="0"/>
    <cacheHierarchy uniqueName="[Data_CPU].[clockSpeed]" caption="clockSpeed" attribute="1" defaultMemberUniqueName="[Data_CPU].[clockSpeed].[All]" allUniqueName="[Data_CPU].[clockSpeed].[All]" dimensionUniqueName="[Data_CPU]" displayFolder="" count="0" memberValueDatatype="20" unbalanced="0"/>
    <cacheHierarchy uniqueName="[Data_CPU].[gpu]" caption="gpu" attribute="1" defaultMemberUniqueName="[Data_CPU].[gpu].[All]" allUniqueName="[Data_CPU].[gpu].[All]" dimensionUniqueName="[Data_CPU]" displayFolder="" count="0" memberValueDatatype="130" unbalanced="0"/>
    <cacheHierarchy uniqueName="[Data_CPU].[release_date]" caption="release_date" attribute="1" time="1" defaultMemberUniqueName="[Data_CPU].[release_date].[All]" allUniqueName="[Data_CPU].[release_date].[All]" dimensionUniqueName="[Data_CPU]" displayFolder="" count="0" memberValueDatatype="7" unbalanced="0"/>
    <cacheHierarchy uniqueName="[Data_CPU].[CPU_Clean]" caption="CPU_Clean" attribute="1" defaultMemberUniqueName="[Data_CPU].[CPU_Clean].[All]" allUniqueName="[Data_CPU].[CPU_Clean].[All]" dimensionUniqueName="[Data_CPU]" displayFolder="" count="0" memberValueDatatype="130" unbalanced="0"/>
    <cacheHierarchy uniqueName="[Data_CPU].[release_year]" caption="release_year" attribute="1" defaultMemberUniqueName="[Data_CPU].[release_year].[All]" allUniqueName="[Data_CPU].[release_year].[All]" dimensionUniqueName="[Data_CPU]" displayFolder="" count="0" memberValueDatatype="20" unbalanced="0"/>
    <cacheHierarchy uniqueName="[Data_CPU].[PerformanceTier]" caption="PerformanceTier" attribute="1" defaultMemberUniqueName="[Data_CPU].[PerformanceTier].[All]" allUniqueName="[Data_CPU].[PerformanceTier].[All]" dimensionUniqueName="[Data_CPU]" displayFolder="" count="0" memberValueDatatype="130" unbalanced="0"/>
    <cacheHierarchy uniqueName="[Data_CPU].[ScorePerGHz]" caption="ScorePerGHz" attribute="1" defaultMemberUniqueName="[Data_CPU].[ScorePerGHz].[All]" allUniqueName="[Data_CPU].[ScorePerGHz].[All]" dimensionUniqueName="[Data_CPU]" displayFolder="" count="0" memberValueDatatype="20" unbalanced="0"/>
    <cacheHierarchy uniqueName="[Data_CPU].[ClockCategory]" caption="ClockCategory" attribute="1" defaultMemberUniqueName="[Data_CPU].[ClockCategory].[All]" allUniqueName="[Data_CPU].[ClockCategory].[All]" dimensionUniqueName="[Data_CPU]" displayFolder="" count="0" memberValueDatatype="130" unbalanced="0"/>
    <cacheHierarchy uniqueName="[Data_CPU].[AnTuTuTier]" caption="AnTuTuTier" attribute="1" defaultMemberUniqueName="[Data_CPU].[AnTuTuTier].[All]" allUniqueName="[Data_CPU].[AnTuTuTier].[All]" dimensionUniqueName="[Data_CPU]" displayFolder="" count="0" memberValueDatatype="130" unbalanced="0"/>
    <cacheHierarchy uniqueName="[Data_ML].[device]" caption="device" attribute="1" defaultMemberUniqueName="[Data_ML].[device].[All]" allUniqueName="[Data_ML].[device].[All]" dimensionUniqueName="[Data_ML]" displayFolder="" count="0" memberValueDatatype="130" unbalanced="0"/>
    <cacheHierarchy uniqueName="[Data_ML].[company]" caption="company" attribute="1" defaultMemberUniqueName="[Data_ML].[company].[All]" allUniqueName="[Data_ML].[company].[All]" dimensionUniqueName="[Data_ML]" displayFolder="" count="0" memberValueDatatype="130" unbalanced="0"/>
    <cacheHierarchy uniqueName="[Data_ML].[cpuName]" caption="cpuName" attribute="1" defaultMemberUniqueName="[Data_ML].[cpuName].[All]" allUniqueName="[Data_ML].[cpuName].[All]" dimensionUniqueName="[Data_ML]" displayFolder="" count="0" memberValueDatatype="130" unbalanced="0"/>
    <cacheHierarchy uniqueName="[Data_ML].[cores]" caption="cores" attribute="1" defaultMemberUniqueName="[Data_ML].[cores].[All]" allUniqueName="[Data_ML].[cores].[All]" dimensionUniqueName="[Data_ML]" displayFolder="" count="0" memberValueDatatype="20" unbalanced="0"/>
    <cacheHierarchy uniqueName="[Data_ML].[clock]" caption="clock" attribute="1" defaultMemberUniqueName="[Data_ML].[clock].[All]" allUniqueName="[Data_ML].[clock].[All]" dimensionUniqueName="[Data_ML]" displayFolder="" count="0" memberValueDatatype="20" unbalanced="0"/>
    <cacheHierarchy uniqueName="[Data_ML].[cpuScore]" caption="cpuScore" attribute="1" defaultMemberUniqueName="[Data_ML].[cpuScore].[All]" allUniqueName="[Data_ML].[cpuScore].[All]" dimensionUniqueName="[Data_ML]" displayFolder="" count="0" memberValueDatatype="20" unbalanced="0"/>
    <cacheHierarchy uniqueName="[Data_ML].[gpuScore]" caption="gpuScore" attribute="1" defaultMemberUniqueName="[Data_ML].[gpuScore].[All]" allUniqueName="[Data_ML].[gpuScore].[All]" dimensionUniqueName="[Data_ML]" displayFolder="" count="0" memberValueDatatype="20" unbalanced="0"/>
    <cacheHierarchy uniqueName="[Data_ML].[npuScore]" caption="npuScore" attribute="1" defaultMemberUniqueName="[Data_ML].[npuScore].[All]" allUniqueName="[Data_ML].[npuScore].[All]" dimensionUniqueName="[Data_ML]" displayFolder="" count="0" memberValueDatatype="20" unbalanced="0"/>
    <cacheHierarchy uniqueName="[Data_ML].[release_date]" caption="release_date" attribute="1" time="1" defaultMemberUniqueName="[Data_ML].[release_date].[All]" allUniqueName="[Data_ML].[release_date].[All]" dimensionUniqueName="[Data_ML]" displayFolder="" count="0" memberValueDatatype="7" unbalanced="0"/>
    <cacheHierarchy uniqueName="[Data_ML].[CPU_Clean]" caption="CPU_Clean" attribute="1" defaultMemberUniqueName="[Data_ML].[CPU_Clean].[All]" allUniqueName="[Data_ML].[CPU_Clean].[All]" dimensionUniqueName="[Data_ML]" displayFolder="" count="0" memberValueDatatype="130" unbalanced="0"/>
    <cacheHierarchy uniqueName="[Data_ML].[release_year]" caption="release_year" attribute="1" defaultMemberUniqueName="[Data_ML].[release_year].[All]" allUniqueName="[Data_ML].[release_year].[All]" dimensionUniqueName="[Data_ML]" displayFolder="" count="0" memberValueDatatype="20" unbalanced="0"/>
    <cacheHierarchy uniqueName="[Measures].[Sum of geekbenchMulti]" caption="Sum of geekbenchMulti" measure="1" displayFolder="" measureGroup="Data_CPU" count="0">
      <extLst>
        <ext xmlns:x15="http://schemas.microsoft.com/office/spreadsheetml/2010/11/main" uri="{B97F6D7D-B522-45F9-BDA1-12C45D357490}">
          <x15:cacheHierarchy aggregatedColumn="14"/>
        </ext>
      </extLst>
    </cacheHierarchy>
    <cacheHierarchy uniqueName="[Measures].[Average of geekbenchMulti]" caption="Average of geekbenchMulti" measure="1" displayFolder="" measureGroup="Data_CPU" count="0">
      <extLst>
        <ext xmlns:x15="http://schemas.microsoft.com/office/spreadsheetml/2010/11/main" uri="{B97F6D7D-B522-45F9-BDA1-12C45D357490}">
          <x15:cacheHierarchy aggregatedColumn="14"/>
        </ext>
      </extLst>
    </cacheHierarchy>
    <cacheHierarchy uniqueName="[Measures].[Sum of geekbenchSingle]" caption="Sum of geekbenchSingle" measure="1" displayFolder="" measureGroup="Data_CPU" count="0">
      <extLst>
        <ext xmlns:x15="http://schemas.microsoft.com/office/spreadsheetml/2010/11/main" uri="{B97F6D7D-B522-45F9-BDA1-12C45D357490}">
          <x15:cacheHierarchy aggregatedColumn="13"/>
        </ext>
      </extLst>
    </cacheHierarchy>
    <cacheHierarchy uniqueName="[Measures].[Count of CPU_Clean]" caption="Count of CPU_Clean" measure="1" displayFolder="" measureGroup="Data_CPU" count="0">
      <extLst>
        <ext xmlns:x15="http://schemas.microsoft.com/office/spreadsheetml/2010/11/main" uri="{B97F6D7D-B522-45F9-BDA1-12C45D357490}">
          <x15:cacheHierarchy aggregatedColumn="21"/>
        </ext>
      </extLst>
    </cacheHierarchy>
    <cacheHierarchy uniqueName="[Measures].[Avg_GeekbenchMulti]" caption="Avg_GeekbenchMulti" measure="1" displayFolder="" measureGroup="Data_CPU" count="0"/>
    <cacheHierarchy uniqueName="[Measures].[Avg_AnTuTuScore]" caption="Avg_AnTuTuScore" measure="1" displayFolder="" measureGroup="Data_AnTuTu" count="0"/>
    <cacheHierarchy uniqueName="[Measures].[Avg_CPUAnTuTu]" caption="Avg_CPUAnTuTu" measure="1" displayFolder="" measureGroup="Data_CPU" count="0"/>
    <cacheHierarchy uniqueName="[Measures].[__XL_Count Data_CPU]" caption="__XL_Count Data_CPU" measure="1" displayFolder="" measureGroup="Data_CPU" count="0" hidden="1"/>
    <cacheHierarchy uniqueName="[Measures].[__XL_Count Data_ML]" caption="__XL_Count Data_ML" measure="1" displayFolder="" measureGroup="Data_ML" count="0" hidden="1"/>
    <cacheHierarchy uniqueName="[Measures].[__XL_Count Data_AnTuTu]" caption="__XL_Count Data_AnTuTu" measure="1" displayFolder="" measureGroup="Data_AnTuTu"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295146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8FC232-A086-46CB-9C27-DB14BF102A71}" name="Top10_CPU" cacheId="82" applyNumberFormats="0" applyBorderFormats="0" applyFontFormats="0" applyPatternFormats="0" applyAlignmentFormats="0" applyWidthHeightFormats="1" dataCaption="Values" tag="d7a823ca-b9cc-4945-a993-a531b3be5e9b" updatedVersion="8" minRefreshableVersion="3" subtotalHiddenItems="1" itemPrintTitles="1" createdVersion="8" indent="0" outline="1" outlineData="1" multipleFieldFilters="0" chartFormat="25">
  <location ref="O28:P39" firstHeaderRow="1" firstDataRow="1" firstDataCol="1"/>
  <pivotFields count="3">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geekbenchMulti" fld="1" subtotal="average" baseField="0" baseItem="1"/>
  </dataFields>
  <formats count="6">
    <format dxfId="172">
      <pivotArea type="all" dataOnly="0" outline="0" fieldPosition="0"/>
    </format>
    <format dxfId="171">
      <pivotArea outline="0" collapsedLevelsAreSubtotals="1" fieldPosition="0"/>
    </format>
    <format dxfId="170">
      <pivotArea field="0" type="button" dataOnly="0" labelOnly="1" outline="0" axis="axisRow" fieldPosition="0"/>
    </format>
    <format dxfId="169">
      <pivotArea dataOnly="0" labelOnly="1" fieldPosition="0">
        <references count="1">
          <reference field="0" count="0"/>
        </references>
      </pivotArea>
    </format>
    <format dxfId="168">
      <pivotArea dataOnly="0" labelOnly="1" grandRow="1" outline="0" fieldPosition="0"/>
    </format>
    <format dxfId="16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CPU].[company].&amp;[HiSilico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geekbenchMulti"/>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CP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E04727-D342-43C3-9E71-26A9805EC1FC}" name="Perbandingan_Core" cacheId="79" applyNumberFormats="0" applyBorderFormats="0" applyFontFormats="0" applyPatternFormats="0" applyAlignmentFormats="0" applyWidthHeightFormats="1" dataCaption="Values" tag="06f3529a-03f6-4054-844c-7a4a6dd3e7ff" updatedVersion="8" minRefreshableVersion="3" subtotalHiddenItems="1" itemPrintTitles="1" createdVersion="8" indent="0" outline="1" outlineData="1" multipleFieldFilters="0" chartFormat="10">
  <location ref="J28:L39" firstHeaderRow="0" firstDataRow="1" firstDataCol="1"/>
  <pivotFields count="4">
    <pivotField axis="axisRow" allDrilled="1" subtotalTop="0" showAll="0" measureFilter="1"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geekbenchSingle" fld="1" baseField="0" baseItem="0"/>
    <dataField name="Sum of geekbenchMulti" fld="2" baseField="0" baseItem="0"/>
  </dataFields>
  <formats count="6">
    <format dxfId="178">
      <pivotArea type="all" dataOnly="0" outline="0" fieldPosition="0"/>
    </format>
    <format dxfId="177">
      <pivotArea outline="0" collapsedLevelsAreSubtotals="1" fieldPosition="0"/>
    </format>
    <format dxfId="176">
      <pivotArea field="0" type="button" dataOnly="0" labelOnly="1" outline="0" axis="axisRow" fieldPosition="0"/>
    </format>
    <format dxfId="175">
      <pivotArea dataOnly="0" labelOnly="1" fieldPosition="0">
        <references count="1">
          <reference field="0" count="7">
            <x v="10"/>
            <x v="11"/>
            <x v="12"/>
            <x v="13"/>
            <x v="14"/>
            <x v="15"/>
            <x v="16"/>
          </reference>
        </references>
      </pivotArea>
    </format>
    <format dxfId="174">
      <pivotArea dataOnly="0" labelOnly="1" grandRow="1" outline="0" fieldPosition="0"/>
    </format>
    <format dxfId="173">
      <pivotArea dataOnly="0" labelOnly="1" outline="0" fieldPosition="0">
        <references count="1">
          <reference field="4294967294" count="2">
            <x v="0"/>
            <x v="1"/>
          </reference>
        </references>
      </pivotArea>
    </format>
  </formats>
  <chartFormats count="2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14"/>
          </reference>
        </references>
      </pivotArea>
    </chartFormat>
    <chartFormat chart="2" format="7">
      <pivotArea type="data" outline="0" fieldPosition="0">
        <references count="2">
          <reference field="4294967294" count="1" selected="0">
            <x v="0"/>
          </reference>
          <reference field="0" count="1" selected="0">
            <x v="15"/>
          </reference>
        </references>
      </pivotArea>
    </chartFormat>
    <chartFormat chart="2" format="8">
      <pivotArea type="data" outline="0" fieldPosition="0">
        <references count="2">
          <reference field="4294967294" count="1" selected="0">
            <x v="0"/>
          </reference>
          <reference field="0" count="1" selected="0">
            <x v="17"/>
          </reference>
        </references>
      </pivotArea>
    </chartFormat>
    <chartFormat chart="2" format="9">
      <pivotArea type="data" outline="0" fieldPosition="0">
        <references count="2">
          <reference field="4294967294" count="1" selected="0">
            <x v="0"/>
          </reference>
          <reference field="0" count="1" selected="0">
            <x v="18"/>
          </reference>
        </references>
      </pivotArea>
    </chartFormat>
    <chartFormat chart="2" format="10">
      <pivotArea type="data" outline="0" fieldPosition="0">
        <references count="2">
          <reference field="4294967294" count="1" selected="0">
            <x v="0"/>
          </reference>
          <reference field="0" count="1" selected="0">
            <x v="19"/>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3"/>
          </reference>
        </references>
      </pivotArea>
    </chartFormat>
    <chartFormat chart="2" format="13">
      <pivotArea type="data" outline="0" fieldPosition="0">
        <references count="2">
          <reference field="4294967294" count="1" selected="0">
            <x v="0"/>
          </reference>
          <reference field="0" count="1" selected="0">
            <x v="20"/>
          </reference>
        </references>
      </pivotArea>
    </chartFormat>
    <chartFormat chart="2" format="14">
      <pivotArea type="data" outline="0" fieldPosition="0">
        <references count="2">
          <reference field="4294967294" count="1" selected="0">
            <x v="0"/>
          </reference>
          <reference field="0" count="1" selected="0">
            <x v="21"/>
          </reference>
        </references>
      </pivotArea>
    </chartFormat>
    <chartFormat chart="2" format="15">
      <pivotArea type="data" outline="0" fieldPosition="0">
        <references count="2">
          <reference field="4294967294" count="1" selected="0">
            <x v="0"/>
          </reference>
          <reference field="0" count="1" selected="0">
            <x v="22"/>
          </reference>
        </references>
      </pivotArea>
    </chartFormat>
    <chartFormat chart="2" format="28">
      <pivotArea type="data" outline="0" fieldPosition="0">
        <references count="2">
          <reference field="4294967294" count="1" selected="0">
            <x v="0"/>
          </reference>
          <reference field="0" count="1" selected="0">
            <x v="24"/>
          </reference>
        </references>
      </pivotArea>
    </chartFormat>
    <chartFormat chart="2" format="29">
      <pivotArea type="data" outline="0" fieldPosition="0">
        <references count="2">
          <reference field="4294967294" count="1" selected="0">
            <x v="0"/>
          </reference>
          <reference field="0" count="1" selected="0">
            <x v="25"/>
          </reference>
        </references>
      </pivotArea>
    </chartFormat>
    <chartFormat chart="2" format="30">
      <pivotArea type="data" outline="0" fieldPosition="0">
        <references count="2">
          <reference field="4294967294" count="1" selected="0">
            <x v="0"/>
          </reference>
          <reference field="0" count="1" selected="0">
            <x v="23"/>
          </reference>
        </references>
      </pivotArea>
    </chartFormat>
    <chartFormat chart="2" format="31">
      <pivotArea type="data" outline="0" fieldPosition="0">
        <references count="2">
          <reference field="4294967294" count="1" selected="0">
            <x v="0"/>
          </reference>
          <reference field="0" count="1" selected="0">
            <x v="26"/>
          </reference>
        </references>
      </pivotArea>
    </chartFormat>
    <chartFormat chart="2" format="32">
      <pivotArea type="data" outline="0" fieldPosition="0">
        <references count="2">
          <reference field="4294967294" count="1" selected="0">
            <x v="0"/>
          </reference>
          <reference field="0" count="1" selected="0">
            <x v="27"/>
          </reference>
        </references>
      </pivotArea>
    </chartFormat>
    <chartFormat chart="2" format="33">
      <pivotArea type="data" outline="0" fieldPosition="0">
        <references count="2">
          <reference field="4294967294" count="1" selected="0">
            <x v="0"/>
          </reference>
          <reference field="0" count="1" selected="0">
            <x v="28"/>
          </reference>
        </references>
      </pivotArea>
    </chartFormat>
    <chartFormat chart="2" format="34">
      <pivotArea type="data" outline="0" fieldPosition="0">
        <references count="2">
          <reference field="4294967294" count="1" selected="0">
            <x v="0"/>
          </reference>
          <reference field="0" count="1" selected="0">
            <x v="29"/>
          </reference>
        </references>
      </pivotArea>
    </chartFormat>
    <chartFormat chart="2" format="35">
      <pivotArea type="data" outline="0" fieldPosition="0">
        <references count="2">
          <reference field="4294967294" count="1" selected="0">
            <x v="0"/>
          </reference>
          <reference field="0" count="1" selected="0">
            <x v="30"/>
          </reference>
        </references>
      </pivotArea>
    </chartFormat>
    <chartFormat chart="2" format="36">
      <pivotArea type="data" outline="0" fieldPosition="0">
        <references count="2">
          <reference field="4294967294" count="1" selected="0">
            <x v="0"/>
          </reference>
          <reference field="0" count="1" selected="0">
            <x v="31"/>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CPU].[company].&amp;[HiSilico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8">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CP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7A5C0A-C176-4AEE-A6B1-FF83B6A3A6E5}" name="Evolusi_Performa" cacheId="73" applyNumberFormats="0" applyBorderFormats="0" applyFontFormats="0" applyPatternFormats="0" applyAlignmentFormats="0" applyWidthHeightFormats="1" dataCaption="Values" tag="b38295d6-4185-41dd-8439-1be073704c74" updatedVersion="8" minRefreshableVersion="3" subtotalHiddenItems="1" itemPrintTitles="1" createdVersion="8" indent="0" outline="1" outlineData="1" multipleFieldFilters="0" chartFormat="10" rowHeaderCaption="Year">
  <location ref="F28:G35" firstHeaderRow="1" firstDataRow="1" firstDataCol="1"/>
  <pivotFields count="3">
    <pivotField axis="axisRow" allDrilled="1" subtotalTop="0" showAll="0" dataSourceSort="1" defaultSubtotal="0" defaultAttributeDrillState="1">
      <items count="8">
        <item s="1" x="0"/>
        <item s="1" x="1"/>
        <item s="1" x="2"/>
        <item s="1" x="3"/>
        <item s="1" x="4"/>
        <item s="1" x="5"/>
        <item s="1" x="6"/>
        <item s="1" x="7"/>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geekbenchMulti" fld="1" subtotal="average" baseField="0" baseItem="0"/>
  </dataFields>
  <formats count="6">
    <format dxfId="184">
      <pivotArea type="all" dataOnly="0" outline="0" fieldPosition="0"/>
    </format>
    <format dxfId="183">
      <pivotArea outline="0" collapsedLevelsAreSubtotals="1" fieldPosition="0"/>
    </format>
    <format dxfId="182">
      <pivotArea field="0" type="button" dataOnly="0" labelOnly="1" outline="0" axis="axisRow" fieldPosition="0"/>
    </format>
    <format dxfId="181">
      <pivotArea dataOnly="0" labelOnly="1" fieldPosition="0">
        <references count="1">
          <reference field="0" count="7">
            <x v="0"/>
            <x v="1"/>
            <x v="2"/>
            <x v="3"/>
            <x v="4"/>
            <x v="5"/>
            <x v="6"/>
          </reference>
        </references>
      </pivotArea>
    </format>
    <format dxfId="180">
      <pivotArea dataOnly="0" labelOnly="1" grandRow="1" outline="0" fieldPosition="0"/>
    </format>
    <format dxfId="17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CPU].[company].&amp;[HiSilico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geekbenchMulti"/>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CP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A8DC26-1B3A-40FF-A8E7-31DE73F2EEBD}" name="MarketShare" cacheId="76" applyNumberFormats="0" applyBorderFormats="0" applyFontFormats="0" applyPatternFormats="0" applyAlignmentFormats="0" applyWidthHeightFormats="1" dataCaption="Values" tag="854c0583-6a9e-470c-a7e4-dc0b66142eb6" updatedVersion="8" minRefreshableVersion="3" subtotalHiddenItems="1" itemPrintTitles="1" createdVersion="8" indent="0" outline="1" outlineData="1" multipleFieldFilters="0" chartFormat="7" rowHeaderCaption="Company">
  <location ref="B28:C30" firstHeaderRow="1" firstDataRow="1" firstDataCol="1"/>
  <pivotFields count="2">
    <pivotField axis="axisRow" allDrilled="1" subtotalTop="0" showAll="0" dataSourceSort="1" defaultSubtotal="0" defaultAttributeDrillState="1">
      <items count="7">
        <item s="1" x="0"/>
        <item x="1"/>
        <item x="2"/>
        <item x="3"/>
        <item x="4"/>
        <item x="5"/>
        <item x="6"/>
      </items>
    </pivotField>
    <pivotField dataField="1" subtotalTop="0" showAll="0" defaultSubtotal="0"/>
  </pivotFields>
  <rowFields count="1">
    <field x="0"/>
  </rowFields>
  <rowItems count="2">
    <i>
      <x/>
    </i>
    <i t="grand">
      <x/>
    </i>
  </rowItems>
  <colItems count="1">
    <i/>
  </colItems>
  <dataFields count="1">
    <dataField name="Total CPU" fld="1" subtotal="count" baseField="0" baseItem="0"/>
  </dataFields>
  <formats count="6">
    <format dxfId="190">
      <pivotArea type="all" dataOnly="0" outline="0" fieldPosition="0"/>
    </format>
    <format dxfId="189">
      <pivotArea outline="0" collapsedLevelsAreSubtotals="1" fieldPosition="0"/>
    </format>
    <format dxfId="188">
      <pivotArea field="0" type="button" dataOnly="0" labelOnly="1" outline="0" axis="axisRow" fieldPosition="0"/>
    </format>
    <format dxfId="187">
      <pivotArea dataOnly="0" labelOnly="1" fieldPosition="0">
        <references count="1">
          <reference field="0" count="1">
            <x v="1"/>
          </reference>
        </references>
      </pivotArea>
    </format>
    <format dxfId="186">
      <pivotArea dataOnly="0" labelOnly="1" grandRow="1" outline="0" fieldPosition="0"/>
    </format>
    <format dxfId="185">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 chart="2" format="12">
      <pivotArea type="data" outline="0" fieldPosition="0">
        <references count="2">
          <reference field="4294967294" count="1" selected="0">
            <x v="0"/>
          </reference>
          <reference field="0" count="1" selected="0">
            <x v="3"/>
          </reference>
        </references>
      </pivotArea>
    </chartFormat>
    <chartFormat chart="2" format="13">
      <pivotArea type="data" outline="0" fieldPosition="0">
        <references count="2">
          <reference field="4294967294" count="1" selected="0">
            <x v="0"/>
          </reference>
          <reference field="0" count="1" selected="0">
            <x v="4"/>
          </reference>
        </references>
      </pivotArea>
    </chartFormat>
    <chartFormat chart="2" format="14">
      <pivotArea type="data" outline="0" fieldPosition="0">
        <references count="2">
          <reference field="4294967294" count="1" selected="0">
            <x v="0"/>
          </reference>
          <reference field="0" count="1" selected="0">
            <x v="5"/>
          </reference>
        </references>
      </pivotArea>
    </chartFormat>
    <chartFormat chart="2" format="15">
      <pivotArea type="data" outline="0" fieldPosition="0">
        <references count="2">
          <reference field="4294967294" count="1" selected="0">
            <x v="0"/>
          </reference>
          <reference field="0" count="1" selected="0">
            <x v="6"/>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PU"/>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CP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94A377-739B-472E-B1F2-206F52FBAD4B}" name="Evolusi_Performa" cacheId="3" applyNumberFormats="0" applyBorderFormats="0" applyFontFormats="0" applyPatternFormats="0" applyAlignmentFormats="0" applyWidthHeightFormats="1" dataCaption="Values" tag="cab19b4a-778d-460c-906a-6d57ceed7cbf" updatedVersion="8" minRefreshableVersion="3" useAutoFormatting="1" subtotalHiddenItems="1" itemPrintTitles="1" createdVersion="8" indent="0" outline="1" outlineData="1" multipleFieldFilters="0" chartFormat="4">
  <location ref="H1:I10" firstHeaderRow="1" firstDataRow="1" firstDataCol="1"/>
  <pivotFields count="2">
    <pivotField axis="axisRow" allDrilled="1" subtotalTop="0" showAll="0" dataSourceSort="1" defaultSubtotal="0" defaultAttributeDrillState="1">
      <items count="8">
        <item s="1" x="0"/>
        <item s="1" x="1"/>
        <item s="1" x="2"/>
        <item s="1" x="3"/>
        <item s="1" x="4"/>
        <item s="1" x="5"/>
        <item s="1" x="6"/>
        <item s="1"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Average of geekbenchMulti" fld="1"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geekbenchMulti"/>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CP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989184-91F6-4CEF-916C-0F05D538E47A}" name="Top10_CPU" cacheId="0" applyNumberFormats="0" applyBorderFormats="0" applyFontFormats="0" applyPatternFormats="0" applyAlignmentFormats="0" applyWidthHeightFormats="1" dataCaption="Values" tag="3d2673b9-e200-4d79-8bfa-08cd3f7274ab" updatedVersion="8" minRefreshableVersion="3" useAutoFormatting="1" subtotalHiddenItems="1" itemPrintTitles="1" createdVersion="8" indent="0" outline="1" outlineData="1" multipleFieldFilters="0" chartFormat="4">
  <location ref="A1:B12"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Average of geekbenchMulti" fld="1" subtotal="average" baseField="0" baseItem="1"/>
  </dataFields>
  <chartFormats count="1">
    <chartFormat chart="0" format="0"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geekbenchMulti"/>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CP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C8844A-CFC6-48FB-91BB-E00AC7ABD593}" name="Perbandingan_Core" cacheId="1" applyNumberFormats="0" applyBorderFormats="0" applyFontFormats="0" applyPatternFormats="0" applyAlignmentFormats="0" applyWidthHeightFormats="1" dataCaption="Values" tag="bca6fe15-a51e-4672-bf40-0975dfb4e526" updatedVersion="8" minRefreshableVersion="3" useAutoFormatting="1" subtotalHiddenItems="1" itemPrintTitles="1" createdVersion="8" indent="0" outline="1" outlineData="1" multipleFieldFilters="0" chartFormat="4">
  <location ref="D1:F12" firstHeaderRow="0"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geekbenchSingle" fld="1" baseField="0" baseItem="0"/>
    <dataField name="Sum of geekbenchMulti"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8">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CP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F76525-EB83-4540-BCBD-E954BCAF5E4A}" name="MarketShare" cacheId="2" applyNumberFormats="0" applyBorderFormats="0" applyFontFormats="0" applyPatternFormats="0" applyAlignmentFormats="0" applyWidthHeightFormats="1" dataCaption="Values" tag="b904bf76-f85c-4918-a387-e7be323928b3" updatedVersion="8" minRefreshableVersion="3" useAutoFormatting="1" subtotalHiddenItems="1" itemPrintTitles="1" createdVersion="8" indent="0" outline="1" outlineData="1" multipleFieldFilters="0" chartFormat="4">
  <location ref="K1:L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CPU_Clean"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CPU]"/>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9C8306E4-B3AC-445C-9D1F-8D4A5204058A}" autoFormatId="16" applyNumberFormats="0" applyBorderFormats="0" applyFontFormats="0" applyPatternFormats="0" applyAlignmentFormats="0" applyWidthHeightFormats="0">
  <queryTableRefresh nextId="21" unboundColumnsRight="6">
    <queryTableFields count="18">
      <queryTableField id="1" name="rank" tableColumnId="1"/>
      <queryTableField id="2" name="company" tableColumnId="2"/>
      <queryTableField id="3" name="cpuName" tableColumnId="3"/>
      <queryTableField id="4" name="geekbenchSingle" tableColumnId="4"/>
      <queryTableField id="5" name="geekbenchMulti" tableColumnId="5"/>
      <queryTableField id="6" name="antutu9" tableColumnId="6"/>
      <queryTableField id="7" name="coreCount" tableColumnId="7"/>
      <queryTableField id="8" name="coreConfig" tableColumnId="8"/>
      <queryTableField id="9" name="clockSpeed" tableColumnId="9"/>
      <queryTableField id="10" name="gpu" tableColumnId="10"/>
      <queryTableField id="19" name="release_year" tableColumnId="18"/>
      <queryTableField id="12" name="release_date" tableColumnId="12"/>
      <queryTableField id="13" dataBound="0" tableColumnId="13"/>
      <queryTableField id="14" dataBound="0" tableColumnId="11"/>
      <queryTableField id="15" dataBound="0" tableColumnId="14"/>
      <queryTableField id="16" dataBound="0" tableColumnId="15"/>
      <queryTableField id="17" dataBound="0" tableColumnId="16"/>
      <queryTableField id="18" dataBound="0" tableColumnId="17"/>
    </queryTableFields>
    <queryTableDeletedFields count="1">
      <deletedField name="release_year"/>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F432B07C-6C90-4C83-9030-9718BF439781}" autoFormatId="16" applyNumberFormats="0" applyBorderFormats="0" applyFontFormats="0" applyPatternFormats="0" applyAlignmentFormats="0" applyWidthHeightFormats="0">
  <queryTableRefresh nextId="15" unboundColumnsRight="2">
    <queryTableFields count="12">
      <queryTableField id="1" name="device" tableColumnId="1"/>
      <queryTableField id="2" name="company" tableColumnId="2"/>
      <queryTableField id="3" name="cpuName" tableColumnId="3"/>
      <queryTableField id="4" name="cores" tableColumnId="4"/>
      <queryTableField id="5" name="clock" tableColumnId="5"/>
      <queryTableField id="6" name="cpuScore" tableColumnId="6"/>
      <queryTableField id="7" name="gpuScore" tableColumnId="7"/>
      <queryTableField id="8" name="npuScore" tableColumnId="8"/>
      <queryTableField id="13" name="release_year" tableColumnId="12"/>
      <queryTableField id="10" name="release_date" tableColumnId="10"/>
      <queryTableField id="11" dataBound="0" tableColumnId="11"/>
      <queryTableField id="12" dataBound="0" tableColumnId="9"/>
    </queryTableFields>
    <queryTableDeletedFields count="1">
      <deletedField name="release_year"/>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8F440E0C-D5A1-4DAF-8879-0EBAE1792E6F}" autoFormatId="16" applyNumberFormats="0" applyBorderFormats="0" applyFontFormats="0" applyPatternFormats="0" applyAlignmentFormats="0" applyWidthHeightFormats="0">
  <queryTableRefresh nextId="13" unboundColumnsRight="3">
    <queryTableFields count="10">
      <queryTableField id="1" name="Device" tableColumnId="1"/>
      <queryTableField id="2" name="brand" tableColumnId="2"/>
      <queryTableField id="3" name="CPU" tableColumnId="3"/>
      <queryTableField id="4" name="GPU" tableColumnId="4"/>
      <queryTableField id="5" name="MEM" tableColumnId="5"/>
      <queryTableField id="6" name="UX" tableColumnId="6"/>
      <queryTableField id="7" name="Total Score" tableColumnId="7"/>
      <queryTableField id="9" dataBound="0" tableColumnId="9"/>
      <queryTableField id="11" dataBound="0"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8DB8A53A-6824-4098-AB26-301A945C4359}" sourceName="[Data_CPU].[company]">
  <pivotTables>
    <pivotTable tabId="9" name="Evolusi_Performa"/>
    <pivotTable tabId="9" name="MarketShare"/>
    <pivotTable tabId="9" name="Perbandingan_Core"/>
    <pivotTable tabId="9" name="Top10_CPU"/>
  </pivotTables>
  <data>
    <olap pivotCacheId="1754756111">
      <levels count="2">
        <level uniqueName="[Data_CPU].[company].[(All)]" sourceCaption="(All)" count="0"/>
        <level uniqueName="[Data_CPU].[company].[company]" sourceCaption="company" count="8">
          <ranges>
            <range startItem="0">
              <i n="[Data_CPU].[company].&amp;[Apple]" c="Apple"/>
              <i n="[Data_CPU].[company].&amp;[Google]" c="Google"/>
              <i n="[Data_CPU].[company].&amp;[HiSilicon]" c="HiSilicon"/>
              <i n="[Data_CPU].[company].&amp;[MediaTek]" c="MediaTek"/>
              <i n="[Data_CPU].[company].&amp;[Qualcomm]" c="Qualcomm"/>
              <i n="[Data_CPU].[company].&amp;[Samsung]" c="Samsung"/>
              <i n="[Data_CPU].[company].&amp;[Unisoc]" c="Unisoc"/>
              <i n="[Data_CPU].[company].&amp;" c="(blank)" nd="1"/>
            </range>
          </ranges>
        </level>
      </levels>
      <selections count="1">
        <selection n="[Data_CPU].[company].&amp;[HiSilicon]"/>
      </selections>
    </olap>
  </data>
  <extLst>
    <x:ext xmlns:x15="http://schemas.microsoft.com/office/spreadsheetml/2010/11/main" uri="{470722E0-AACD-4C17-9CDC-17EF765DBC7E}">
      <x15:slicerCacheHideItemsWithNoData count="1">
        <x15:slicerCacheOlapLevelName uniqueName="[Data_CPU].[company].[company]"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reCount" xr10:uid="{A27E1F86-5025-4E48-B070-4BEAFF320B27}" sourceName="[Data_CPU].[coreCount]">
  <pivotTables>
    <pivotTable tabId="9" name="Evolusi_Performa"/>
    <pivotTable tabId="9" name="MarketShare"/>
    <pivotTable tabId="9" name="Perbandingan_Core"/>
    <pivotTable tabId="9" name="Top10_CPU"/>
  </pivotTables>
  <data>
    <olap pivotCacheId="529514639">
      <levels count="2">
        <level uniqueName="[Data_CPU].[coreCount].[(All)]" sourceCaption="(All)" count="0"/>
        <level uniqueName="[Data_CPU].[coreCount].[coreCount]" sourceCaption="coreCount" count="5">
          <ranges>
            <range startItem="0">
              <i n="[Data_CPU].[coreCount].&amp;[8]" c="8"/>
              <i n="[Data_CPU].[coreCount].&amp;[2]" c="2" nd="1"/>
              <i n="[Data_CPU].[coreCount].&amp;[4]" c="4" nd="1"/>
              <i n="[Data_CPU].[coreCount].&amp;[6]" c="6" nd="1"/>
              <i n="[Data_CPU].[coreCount].&amp;" c="(blank)" nd="1"/>
            </range>
          </ranges>
        </level>
      </levels>
      <selections count="1">
        <selection n="[Data_CPU].[coreCount].[All]"/>
      </selections>
    </olap>
  </data>
  <extLst>
    <x:ext xmlns:x15="http://schemas.microsoft.com/office/spreadsheetml/2010/11/main" uri="{470722E0-AACD-4C17-9CDC-17EF765DBC7E}">
      <x15:slicerCacheHideItemsWithNoData count="1">
        <x15:slicerCacheOlapLevelName uniqueName="[Data_CPU].[coreCount].[coreCount]" count="4"/>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C5D78CA2-8CF2-4B02-9859-7736674D0E4A}" cache="Slicer_company" caption="company" level="1" rowHeight="234950"/>
  <slicer name="coreCount" xr10:uid="{A21F9AF9-6CBD-4D96-B7DB-51111BE7F781}" cache="Slicer_coreCount" caption="coreCount"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A54960-416C-4F56-83F0-2B09E84E3445}" name="Data_CPU" displayName="Data_CPU" ref="A1:R126" tableType="queryTable" totalsRowShown="0">
  <autoFilter ref="A1:R126" xr:uid="{34A54960-416C-4F56-83F0-2B09E84E3445}"/>
  <sortState xmlns:xlrd2="http://schemas.microsoft.com/office/spreadsheetml/2017/richdata2" ref="A2:R126">
    <sortCondition descending="1" ref="E1:E126"/>
  </sortState>
  <tableColumns count="18">
    <tableColumn id="1" xr3:uid="{7CC4B134-7C0E-4B80-80A3-4A7CF95A70E5}" uniqueName="1" name="rank" queryTableFieldId="1"/>
    <tableColumn id="2" xr3:uid="{DF9BF1D1-C3DA-4864-A192-06B70B9E906C}" uniqueName="2" name="company" queryTableFieldId="2" dataDxfId="166"/>
    <tableColumn id="3" xr3:uid="{FC35A26F-0FD0-4F25-B772-97FA53FC2A6F}" uniqueName="3" name="cpuName" queryTableFieldId="3" dataDxfId="165"/>
    <tableColumn id="4" xr3:uid="{8BDFB44D-C155-414F-9AD4-4C879779B103}" uniqueName="4" name="geekbenchSingle" queryTableFieldId="4"/>
    <tableColumn id="5" xr3:uid="{CD9AB6A8-C4A5-4C21-9A0F-B7FB6F10534A}" uniqueName="5" name="geekbenchMulti" queryTableFieldId="5"/>
    <tableColumn id="6" xr3:uid="{273CDD50-6760-4D18-8FAD-2E6BF5E79F77}" uniqueName="6" name="antutu9" queryTableFieldId="6"/>
    <tableColumn id="7" xr3:uid="{CAC9CC6A-9062-4747-A9EA-50571EDAC681}" uniqueName="7" name="coreCount" queryTableFieldId="7"/>
    <tableColumn id="8" xr3:uid="{B2BE307E-7A16-4AE8-8492-133D026B7E76}" uniqueName="8" name="coreConfig" queryTableFieldId="8" dataDxfId="164"/>
    <tableColumn id="9" xr3:uid="{38D62B15-DCD3-445A-A106-719971C12360}" uniqueName="9" name="clockSpeed" queryTableFieldId="9"/>
    <tableColumn id="10" xr3:uid="{D9EBC998-905D-4991-A6CE-A9353A51C66C}" uniqueName="10" name="gpu" queryTableFieldId="10" dataDxfId="163"/>
    <tableColumn id="18" xr3:uid="{1B29CFD5-4CBF-40A2-B024-5C4FD32B70A3}" uniqueName="18" name="release_year" queryTableFieldId="19"/>
    <tableColumn id="12" xr3:uid="{01B60232-BA23-4884-A01C-ACA2B615490B}" uniqueName="12" name="release_date" queryTableFieldId="12" dataDxfId="162"/>
    <tableColumn id="13" xr3:uid="{E7E35951-005D-4AA9-8FFE-85B8F565CEE7}" uniqueName="13" name="CPU_Clean" queryTableFieldId="13" dataDxfId="161">
      <calculatedColumnFormula>TRIM(Data_CPU[[#This Row],[cpuName]])</calculatedColumnFormula>
    </tableColumn>
    <tableColumn id="11" xr3:uid="{1AD8396E-327E-474D-941F-7929E44CB4F1}" uniqueName="11" name="release_year2" queryTableFieldId="14" dataDxfId="160">
      <calculatedColumnFormula>YEAR(Data_CPU[[#This Row],[release_date]])</calculatedColumnFormula>
    </tableColumn>
    <tableColumn id="14" xr3:uid="{D76B2D69-0EDB-454F-AC5E-136009213CE5}" uniqueName="14" name="PerformanceTier" queryTableFieldId="15" dataDxfId="159">
      <calculatedColumnFormula>IF(E2&gt;=3000,"Flagship",IF(E2&gt;=2000,"High-end",IF(E2&gt;=1000,"Mid-range","Entry")))</calculatedColumnFormula>
    </tableColumn>
    <tableColumn id="15" xr3:uid="{F60B06C1-3653-4A7E-AC32-7CD645C15221}" uniqueName="15" name="ScorePerGHz" queryTableFieldId="16" dataDxfId="158">
      <calculatedColumnFormula>ROUND(E2/(I2/1000),0)</calculatedColumnFormula>
    </tableColumn>
    <tableColumn id="16" xr3:uid="{33AD6964-65E7-4161-A449-8DEB160E4B97}" uniqueName="16" name="ClockCategory" queryTableFieldId="17" dataDxfId="157">
      <calculatedColumnFormula>IF(H2&gt;3000,"&gt;3.0 GHz",IF(H2&gt;2500,"2.5-3.0 GHz",IF(H2&gt;2000,"2.0-2.5 GHz","≤2.0 GHz")))</calculatedColumnFormula>
    </tableColumn>
    <tableColumn id="17" xr3:uid="{A6DF44A9-C4BA-453D-99CE-6F3FF18E84BA}" uniqueName="17" name="AnTuTuTier" queryTableFieldId="18" dataDxfId="156">
      <calculatedColumnFormula>IF(F2&gt;=800000,"Ultra",IF(F2&gt;=600000,"High",IF(F2&gt;=300000,"Mid","Low")))</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7B4D89-BA31-4410-B84D-8FFECB79658A}" name="Data_ML" displayName="Data_ML" ref="A1:L189" tableType="queryTable" totalsRowShown="0">
  <autoFilter ref="A1:L189" xr:uid="{AE7B4D89-BA31-4410-B84D-8FFECB79658A}"/>
  <tableColumns count="12">
    <tableColumn id="1" xr3:uid="{1AF93CD6-E7B9-4A76-A440-5557E3805068}" uniqueName="1" name="device" queryTableFieldId="1" dataDxfId="155"/>
    <tableColumn id="2" xr3:uid="{46328FB5-4215-4A88-8542-6A9E5EDD2E4D}" uniqueName="2" name="company" queryTableFieldId="2" dataDxfId="154"/>
    <tableColumn id="3" xr3:uid="{21FE896F-707F-445F-8720-BDE305843C87}" uniqueName="3" name="cpuName" queryTableFieldId="3" dataDxfId="153"/>
    <tableColumn id="4" xr3:uid="{42E5C907-E508-4F92-A2C6-8244E285FAE3}" uniqueName="4" name="cores" queryTableFieldId="4"/>
    <tableColumn id="5" xr3:uid="{7849E7E3-2AA8-4CAF-AC8C-F7593619E021}" uniqueName="5" name="clock" queryTableFieldId="5"/>
    <tableColumn id="6" xr3:uid="{B63804F3-9474-4D14-9F7D-79FB4C415FF5}" uniqueName="6" name="cpuScore" queryTableFieldId="6"/>
    <tableColumn id="7" xr3:uid="{50E08BCF-694A-46BC-A485-A9A099436F33}" uniqueName="7" name="gpuScore" queryTableFieldId="7"/>
    <tableColumn id="8" xr3:uid="{7F0E8DF1-132F-4191-B0DF-EAADFE72256E}" uniqueName="8" name="npuScore" queryTableFieldId="8"/>
    <tableColumn id="12" xr3:uid="{0637B18A-D359-4C3D-896F-7D4ED176F4B3}" uniqueName="12" name="release_year" queryTableFieldId="13"/>
    <tableColumn id="10" xr3:uid="{EB5A3D00-3C3D-4086-8304-7A5C6AEECEE9}" uniqueName="10" name="release_date" queryTableFieldId="10" dataDxfId="152"/>
    <tableColumn id="11" xr3:uid="{12BC2D4B-33E8-4EF3-8496-8DDF00A833A3}" uniqueName="11" name="CPU_Clean" queryTableFieldId="11" dataDxfId="151">
      <calculatedColumnFormula>TRIM(Data_ML[[#This Row],[cpuName]])</calculatedColumnFormula>
    </tableColumn>
    <tableColumn id="9" xr3:uid="{308DD455-3E62-4445-A760-8998954BDADA}" uniqueName="9" name="release_year2" queryTableFieldId="12" dataDxfId="150">
      <calculatedColumnFormula>YEAR(Data_ML[[#This Row],[release_date]])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DA4244-98AA-4DAA-AB8E-97CC69D7332F}" name="Data_AnTuTu" displayName="Data_AnTuTu" ref="A1:J180" tableType="queryTable" totalsRowShown="0">
  <autoFilter ref="A1:J180" xr:uid="{63DA4244-98AA-4DAA-AB8E-97CC69D7332F}"/>
  <tableColumns count="10">
    <tableColumn id="1" xr3:uid="{40E77837-D1AA-4C64-9E83-1F65A67D7FD6}" uniqueName="1" name="Device" queryTableFieldId="1" dataDxfId="149"/>
    <tableColumn id="2" xr3:uid="{E07B416C-3EE4-49E8-8ED3-FCD99F506703}" uniqueName="2" name="brand" queryTableFieldId="2" dataDxfId="148"/>
    <tableColumn id="3" xr3:uid="{EEDCD813-64B7-46F4-B2FB-80D80E60F329}" uniqueName="3" name="CPU" queryTableFieldId="3"/>
    <tableColumn id="4" xr3:uid="{944C955B-2F0C-40B8-ADE3-CECC810C7F25}" uniqueName="4" name="GPU" queryTableFieldId="4"/>
    <tableColumn id="5" xr3:uid="{30571FF6-2EBB-41A1-AF21-D821F7804C0A}" uniqueName="5" name="MEM" queryTableFieldId="5"/>
    <tableColumn id="6" xr3:uid="{5369DF7F-A862-4B7F-A24D-DE0257902BEE}" uniqueName="6" name="UX" queryTableFieldId="6"/>
    <tableColumn id="7" xr3:uid="{05F6AA4B-789D-427A-9A36-CBAA81BD3346}" uniqueName="7" name="Total Score" queryTableFieldId="7" dataDxfId="147"/>
    <tableColumn id="9" xr3:uid="{5A3FFD0B-3615-4606-9C83-0C80CB0E111B}" uniqueName="9" name="Device_Clean" queryTableFieldId="9" dataDxfId="146">
      <calculatedColumnFormula>IFERROR(TRIM(LEFT(Data_AnTuTu[[#This Row],[Device]], FIND("(",Data_AnTuTu[[#This Row],[Device]])-1)), TRIM(Data_AnTuTu[[#This Row],[Device]]))</calculatedColumnFormula>
    </tableColumn>
    <tableColumn id="11" xr3:uid="{62EF4801-B310-4377-89D7-0A939E7B71BC}" uniqueName="11" name="CPU_Name_Bridge" queryTableFieldId="11" dataDxfId="145">
      <calculatedColumnFormula>_xlfn.XLOOKUP(Data_AnTuTu[[#This Row],[Device_Clean]], Tbl_Mapping[Device_Clean], Tbl_Mapping[True_CPU], "Tidak Ditemukan")</calculatedColumnFormula>
    </tableColumn>
    <tableColumn id="12" xr3:uid="{6F10F4E9-CF8B-4C14-B56D-D02CB6E7DE6E}" uniqueName="12" name="Core_Count_Lookup" queryTableFieldId="12" dataDxfId="144">
      <calculatedColumnFormula>_xlfn.XLOOKUP(Data_AnTuTu[[#This Row],[CPU_Name_Bridge]], Data_CPU[CPU_Clean], Data_CPU[coreCount], "")</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57A178-3091-4BC8-9BE6-C68ED8CDD188}" name="Tbl_Mapping" displayName="Tbl_Mapping" ref="A1:B173" totalsRowShown="0">
  <autoFilter ref="A1:B173" xr:uid="{D557A178-3091-4BC8-9BE6-C68ED8CDD188}"/>
  <tableColumns count="2">
    <tableColumn id="1" xr3:uid="{061C00CA-9CE4-4EDC-B48B-0EACC53D2378}" name="Device_Clean"/>
    <tableColumn id="2" xr3:uid="{807C1D40-3436-45F2-9A0F-D9C7AE4280B5}" name="True_CPU"/>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F26C0-9D0E-41E5-89D9-899F54C61FFF}">
  <dimension ref="B1:P41"/>
  <sheetViews>
    <sheetView showGridLines="0" tabSelected="1" topLeftCell="B6" zoomScale="79" zoomScaleNormal="100" workbookViewId="0">
      <selection activeCell="S12" sqref="S12"/>
    </sheetView>
  </sheetViews>
  <sheetFormatPr defaultColWidth="9.109375" defaultRowHeight="15" customHeight="1" x14ac:dyDescent="0.3"/>
  <cols>
    <col min="1" max="1" width="3.5546875" style="14" customWidth="1"/>
    <col min="2" max="2" width="25.6640625" style="14" customWidth="1"/>
    <col min="3" max="3" width="17.33203125" style="14" customWidth="1"/>
    <col min="4" max="4" width="5.6640625" style="14" customWidth="1"/>
    <col min="5" max="5" width="12.88671875" style="14" customWidth="1"/>
    <col min="6" max="6" width="11.6640625" style="14" bestFit="1" customWidth="1"/>
    <col min="7" max="7" width="26.33203125" style="14" bestFit="1" customWidth="1"/>
    <col min="8" max="8" width="13.6640625" style="14" customWidth="1"/>
    <col min="9" max="9" width="5.6640625" style="14" customWidth="1"/>
    <col min="10" max="10" width="23" style="14" customWidth="1"/>
    <col min="11" max="11" width="28.6640625" style="14" customWidth="1"/>
    <col min="12" max="12" width="26.6640625" style="14" customWidth="1"/>
    <col min="13" max="13" width="5.88671875" style="14" customWidth="1"/>
    <col min="14" max="14" width="5.6640625" style="14" customWidth="1"/>
    <col min="15" max="15" width="30.6640625" style="14" customWidth="1"/>
    <col min="16" max="16" width="26.33203125" style="14" bestFit="1" customWidth="1"/>
    <col min="17" max="17" width="6.33203125" style="14" customWidth="1"/>
    <col min="18" max="18" width="26.33203125" style="14" bestFit="1" customWidth="1"/>
    <col min="19" max="19" width="31.88671875" style="14" bestFit="1" customWidth="1"/>
    <col min="20" max="20" width="31.44140625" style="14" bestFit="1" customWidth="1"/>
    <col min="21" max="21" width="24.5546875" style="14" bestFit="1" customWidth="1"/>
    <col min="22" max="22" width="34.88671875" style="14" bestFit="1" customWidth="1"/>
    <col min="23" max="23" width="33" style="14" bestFit="1" customWidth="1"/>
    <col min="24" max="24" width="23.5546875" style="14" bestFit="1" customWidth="1"/>
    <col min="25" max="16384" width="9.109375" style="14"/>
  </cols>
  <sheetData>
    <row r="1" spans="12:12" ht="14.4" x14ac:dyDescent="0.3">
      <c r="L1" s="14" vm="28">
        <f>CUBEVALUE("ThisWorkbookDataModel","[Measures].[Avg_GeekbenchMulti]",Slicer_company,Slicer_coreCount)</f>
        <v>2049.4375</v>
      </c>
    </row>
    <row r="2" spans="12:12" ht="14.4" x14ac:dyDescent="0.3">
      <c r="L2" s="14" vm="29">
        <f>CUBEVALUE("ThisWorkbookDataModel","[Measures].[Avg_AnTuTuScore]",Slicer_company,Slicer_coreCount)</f>
        <v>501640.77777777775</v>
      </c>
    </row>
    <row r="3" spans="12:12" ht="15" customHeight="1" x14ac:dyDescent="0.3">
      <c r="L3" s="14" vm="27">
        <f>CUBEVALUE("ThisWorkbookDataModel","[Measures].[Count of CPU_Clean]",Slicer_company,Slicer_coreCount)</f>
        <v>16</v>
      </c>
    </row>
    <row r="6" spans="12:12" ht="14.4" x14ac:dyDescent="0.3"/>
    <row r="7" spans="12:12" ht="14.4" x14ac:dyDescent="0.3"/>
    <row r="8" spans="12:12" ht="14.4" x14ac:dyDescent="0.3"/>
    <row r="9" spans="12:12" ht="14.4" x14ac:dyDescent="0.3"/>
    <row r="10" spans="12:12" ht="14.4" x14ac:dyDescent="0.3"/>
    <row r="11" spans="12:12" ht="14.4" x14ac:dyDescent="0.3"/>
    <row r="12" spans="12:12" ht="14.4" x14ac:dyDescent="0.3"/>
    <row r="13" spans="12:12" ht="14.4" x14ac:dyDescent="0.3"/>
    <row r="14" spans="12:12" ht="14.4" x14ac:dyDescent="0.3"/>
    <row r="15" spans="12:12" ht="14.4" x14ac:dyDescent="0.3"/>
    <row r="16" spans="12:12" ht="14.4" x14ac:dyDescent="0.3"/>
    <row r="17" spans="2:16" ht="14.4" x14ac:dyDescent="0.3"/>
    <row r="18" spans="2:16" ht="14.4" x14ac:dyDescent="0.3"/>
    <row r="19" spans="2:16" ht="14.4" x14ac:dyDescent="0.3"/>
    <row r="20" spans="2:16" ht="14.4" x14ac:dyDescent="0.3"/>
    <row r="21" spans="2:16" ht="14.4" x14ac:dyDescent="0.3"/>
    <row r="22" spans="2:16" ht="14.4" x14ac:dyDescent="0.3"/>
    <row r="23" spans="2:16" ht="14.4" x14ac:dyDescent="0.3"/>
    <row r="24" spans="2:16" ht="14.4" x14ac:dyDescent="0.3"/>
    <row r="25" spans="2:16" ht="14.4" x14ac:dyDescent="0.3"/>
    <row r="26" spans="2:16" ht="14.4" x14ac:dyDescent="0.3"/>
    <row r="27" spans="2:16" ht="14.4" x14ac:dyDescent="0.3"/>
    <row r="28" spans="2:16" ht="14.4" x14ac:dyDescent="0.3">
      <c r="B28" s="21" t="s">
        <v>0</v>
      </c>
      <c r="C28" s="22" t="s">
        <v>1</v>
      </c>
      <c r="F28" s="21" t="s">
        <v>2</v>
      </c>
      <c r="G28" s="22" t="s">
        <v>3</v>
      </c>
      <c r="J28" s="21" t="s">
        <v>4</v>
      </c>
      <c r="K28" s="22" t="s">
        <v>5</v>
      </c>
      <c r="L28" s="22" t="s">
        <v>6</v>
      </c>
      <c r="O28" s="21" t="s">
        <v>4</v>
      </c>
      <c r="P28" s="22" t="s">
        <v>3</v>
      </c>
    </row>
    <row r="29" spans="2:16" ht="14.4" x14ac:dyDescent="0.3">
      <c r="B29" s="23" t="s">
        <v>12</v>
      </c>
      <c r="C29" s="24">
        <v>16</v>
      </c>
      <c r="F29" s="23">
        <v>2015</v>
      </c>
      <c r="G29" s="24">
        <v>1267</v>
      </c>
      <c r="J29" s="23" t="s">
        <v>127</v>
      </c>
      <c r="K29" s="24">
        <v>595</v>
      </c>
      <c r="L29" s="24">
        <v>1900</v>
      </c>
      <c r="O29" s="23" t="s">
        <v>127</v>
      </c>
      <c r="P29" s="24">
        <v>1900</v>
      </c>
    </row>
    <row r="30" spans="2:16" ht="14.4" x14ac:dyDescent="0.3">
      <c r="B30" s="23" t="s">
        <v>21</v>
      </c>
      <c r="C30" s="24">
        <v>16</v>
      </c>
      <c r="F30" s="23">
        <v>2016</v>
      </c>
      <c r="G30" s="24">
        <v>1332.5</v>
      </c>
      <c r="J30" s="23" t="s">
        <v>108</v>
      </c>
      <c r="K30" s="24">
        <v>639</v>
      </c>
      <c r="L30" s="24">
        <v>2448</v>
      </c>
      <c r="O30" s="23" t="s">
        <v>108</v>
      </c>
      <c r="P30" s="24">
        <v>2448</v>
      </c>
    </row>
    <row r="31" spans="2:16" ht="14.4" x14ac:dyDescent="0.3">
      <c r="B31"/>
      <c r="C31"/>
      <c r="F31" s="23">
        <v>2017</v>
      </c>
      <c r="G31" s="24">
        <v>1119.5</v>
      </c>
      <c r="J31" s="23" t="s">
        <v>18</v>
      </c>
      <c r="K31" s="24">
        <v>1039</v>
      </c>
      <c r="L31" s="24">
        <v>3677</v>
      </c>
      <c r="O31" s="23" t="s">
        <v>18</v>
      </c>
      <c r="P31" s="24">
        <v>3677</v>
      </c>
    </row>
    <row r="32" spans="2:16" ht="14.4" x14ac:dyDescent="0.3">
      <c r="B32"/>
      <c r="C32"/>
      <c r="F32" s="23">
        <v>2018</v>
      </c>
      <c r="G32" s="24">
        <v>1865</v>
      </c>
      <c r="J32" s="23" t="s">
        <v>20</v>
      </c>
      <c r="K32" s="24">
        <v>1060</v>
      </c>
      <c r="L32" s="24">
        <v>3741</v>
      </c>
      <c r="O32" s="23" t="s">
        <v>20</v>
      </c>
      <c r="P32" s="24">
        <v>3741</v>
      </c>
    </row>
    <row r="33" spans="2:16" ht="14.4" x14ac:dyDescent="0.3">
      <c r="B33"/>
      <c r="C33"/>
      <c r="F33" s="23">
        <v>2019</v>
      </c>
      <c r="G33" s="24">
        <v>2664</v>
      </c>
      <c r="J33" s="23" t="s">
        <v>162</v>
      </c>
      <c r="K33" s="24">
        <v>377</v>
      </c>
      <c r="L33" s="24">
        <v>1579</v>
      </c>
      <c r="O33" s="23" t="s">
        <v>162</v>
      </c>
      <c r="P33" s="24">
        <v>1579</v>
      </c>
    </row>
    <row r="34" spans="2:16" ht="14.4" x14ac:dyDescent="0.3">
      <c r="B34"/>
      <c r="C34"/>
      <c r="F34" s="23">
        <v>2020</v>
      </c>
      <c r="G34" s="24">
        <v>2483</v>
      </c>
      <c r="J34" s="23" t="s">
        <v>185</v>
      </c>
      <c r="K34" s="24">
        <v>385</v>
      </c>
      <c r="L34" s="24">
        <v>1361</v>
      </c>
      <c r="O34" s="23" t="s">
        <v>185</v>
      </c>
      <c r="P34" s="24">
        <v>1361</v>
      </c>
    </row>
    <row r="35" spans="2:16" ht="14.4" x14ac:dyDescent="0.3">
      <c r="B35"/>
      <c r="C35"/>
      <c r="F35" s="23" t="s">
        <v>21</v>
      </c>
      <c r="G35" s="24">
        <v>2049.4375</v>
      </c>
      <c r="J35" s="23" t="s">
        <v>106</v>
      </c>
      <c r="K35" s="24">
        <v>691</v>
      </c>
      <c r="L35" s="24">
        <v>2459</v>
      </c>
      <c r="O35" s="23" t="s">
        <v>106</v>
      </c>
      <c r="P35" s="24">
        <v>2459</v>
      </c>
    </row>
    <row r="36" spans="2:16" ht="14.4" x14ac:dyDescent="0.3">
      <c r="B36"/>
      <c r="C36"/>
      <c r="F36"/>
      <c r="G36"/>
      <c r="J36" s="23" t="s">
        <v>102</v>
      </c>
      <c r="K36" s="24">
        <v>685</v>
      </c>
      <c r="L36" s="24">
        <v>2559</v>
      </c>
      <c r="O36" s="23" t="s">
        <v>102</v>
      </c>
      <c r="P36" s="24">
        <v>2559</v>
      </c>
    </row>
    <row r="37" spans="2:16" ht="14.4" x14ac:dyDescent="0.3">
      <c r="F37"/>
      <c r="G37"/>
      <c r="J37" s="23" t="s">
        <v>78</v>
      </c>
      <c r="K37" s="24">
        <v>739</v>
      </c>
      <c r="L37" s="24">
        <v>3041</v>
      </c>
      <c r="O37" s="23" t="s">
        <v>78</v>
      </c>
      <c r="P37" s="24">
        <v>3041</v>
      </c>
    </row>
    <row r="38" spans="2:16" ht="14.4" x14ac:dyDescent="0.3">
      <c r="J38" s="23" t="s">
        <v>75</v>
      </c>
      <c r="K38" s="24">
        <v>767</v>
      </c>
      <c r="L38" s="24">
        <v>3051</v>
      </c>
      <c r="O38" s="23" t="s">
        <v>75</v>
      </c>
      <c r="P38" s="24">
        <v>3051</v>
      </c>
    </row>
    <row r="39" spans="2:16" ht="14.4" x14ac:dyDescent="0.3">
      <c r="J39" s="23" t="s">
        <v>21</v>
      </c>
      <c r="K39" s="24">
        <v>6977</v>
      </c>
      <c r="L39" s="24">
        <v>25816</v>
      </c>
      <c r="O39" s="23" t="s">
        <v>21</v>
      </c>
      <c r="P39" s="24">
        <v>2581.6</v>
      </c>
    </row>
    <row r="40" spans="2:16" ht="14.4" x14ac:dyDescent="0.3"/>
    <row r="41" spans="2:16" ht="14.4" x14ac:dyDescent="0.3"/>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D1F48-11FD-4E5F-A22D-C53966C5C060}">
  <dimension ref="A1:J7"/>
  <sheetViews>
    <sheetView workbookViewId="0">
      <selection activeCell="B6" sqref="B6"/>
    </sheetView>
  </sheetViews>
  <sheetFormatPr defaultRowHeight="14.4" x14ac:dyDescent="0.3"/>
  <cols>
    <col min="1" max="1" width="20.5546875" bestFit="1" customWidth="1"/>
    <col min="2" max="2" width="8.88671875" customWidth="1"/>
    <col min="4" max="4" width="2.88671875" bestFit="1" customWidth="1"/>
  </cols>
  <sheetData>
    <row r="1" spans="1:10" x14ac:dyDescent="0.3">
      <c r="A1" s="16" t="s">
        <v>25</v>
      </c>
      <c r="B1" s="17"/>
      <c r="F1" s="15" t="s">
        <v>26</v>
      </c>
      <c r="G1" s="15"/>
      <c r="H1" s="15"/>
      <c r="I1" s="15"/>
      <c r="J1" s="15"/>
    </row>
    <row r="2" spans="1:10" x14ac:dyDescent="0.3">
      <c r="A2" s="7" t="s">
        <v>27</v>
      </c>
      <c r="B2" s="6">
        <v>3000</v>
      </c>
      <c r="E2" s="5">
        <f>B4</f>
        <v>4500</v>
      </c>
      <c r="F2">
        <v>1.2</v>
      </c>
      <c r="G2">
        <v>1.3</v>
      </c>
      <c r="H2">
        <v>1.4</v>
      </c>
      <c r="I2">
        <v>1.5</v>
      </c>
      <c r="J2">
        <v>1.6</v>
      </c>
    </row>
    <row r="3" spans="1:10" x14ac:dyDescent="0.3">
      <c r="A3" s="7" t="s">
        <v>28</v>
      </c>
      <c r="B3" s="6">
        <v>1.5</v>
      </c>
      <c r="D3" s="18" t="s">
        <v>29</v>
      </c>
      <c r="E3">
        <v>2800</v>
      </c>
      <c r="F3">
        <f t="dataTable" ref="F3:J7" dt2D="1" dtr="1" r1="B3" r2="B2"/>
        <v>3360</v>
      </c>
      <c r="G3">
        <v>3640</v>
      </c>
      <c r="H3">
        <v>3919.9999999999995</v>
      </c>
      <c r="I3">
        <v>4200</v>
      </c>
      <c r="J3">
        <v>4480</v>
      </c>
    </row>
    <row r="4" spans="1:10" x14ac:dyDescent="0.3">
      <c r="A4" s="7" t="s">
        <v>30</v>
      </c>
      <c r="B4" s="7">
        <f>B2*B3</f>
        <v>4500</v>
      </c>
      <c r="D4" s="18"/>
      <c r="E4">
        <v>2900</v>
      </c>
      <c r="F4">
        <v>3480</v>
      </c>
      <c r="G4">
        <v>3770</v>
      </c>
      <c r="H4">
        <v>4059.9999999999995</v>
      </c>
      <c r="I4">
        <v>4350</v>
      </c>
      <c r="J4">
        <v>4640</v>
      </c>
    </row>
    <row r="5" spans="1:10" x14ac:dyDescent="0.3">
      <c r="D5" s="18"/>
      <c r="E5">
        <v>3000</v>
      </c>
      <c r="F5">
        <v>3600</v>
      </c>
      <c r="G5">
        <v>3900</v>
      </c>
      <c r="H5">
        <v>4200</v>
      </c>
      <c r="I5">
        <v>4500</v>
      </c>
      <c r="J5">
        <v>4800</v>
      </c>
    </row>
    <row r="6" spans="1:10" x14ac:dyDescent="0.3">
      <c r="D6" s="18"/>
      <c r="E6">
        <v>3100</v>
      </c>
      <c r="F6">
        <v>3720</v>
      </c>
      <c r="G6">
        <v>4030</v>
      </c>
      <c r="H6">
        <v>4340</v>
      </c>
      <c r="I6">
        <v>4650</v>
      </c>
      <c r="J6">
        <v>4960</v>
      </c>
    </row>
    <row r="7" spans="1:10" x14ac:dyDescent="0.3">
      <c r="D7" s="18"/>
      <c r="E7">
        <v>3200</v>
      </c>
      <c r="F7">
        <v>3840</v>
      </c>
      <c r="G7">
        <v>4160</v>
      </c>
      <c r="H7">
        <v>4480</v>
      </c>
      <c r="I7">
        <v>4800</v>
      </c>
      <c r="J7">
        <v>5120</v>
      </c>
    </row>
  </sheetData>
  <mergeCells count="3">
    <mergeCell ref="F1:J1"/>
    <mergeCell ref="A1:B1"/>
    <mergeCell ref="D3:D7"/>
  </mergeCells>
  <conditionalFormatting sqref="F3:J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election activeCell="C11" sqref="C11"/>
    </sheetView>
  </sheetViews>
  <sheetFormatPr defaultRowHeight="14.4" x14ac:dyDescent="0.3"/>
  <cols>
    <col min="1" max="1" width="10.5546875" bestFit="1" customWidth="1"/>
    <col min="2" max="2" width="18.33203125" bestFit="1" customWidth="1"/>
    <col min="3" max="3" width="15.109375" bestFit="1" customWidth="1"/>
  </cols>
  <sheetData>
    <row r="1" spans="1:3" x14ac:dyDescent="0.3">
      <c r="A1" s="8" t="s">
        <v>0</v>
      </c>
      <c r="B1" s="8" t="str" vm="9">
        <f>CUBEMEMBER("ThisWorkbookDataModel","[Measures].[Avg_GeekbenchMulti]")</f>
        <v>Avg_GeekbenchMulti</v>
      </c>
      <c r="C1" s="8" t="str" vm="18">
        <f>CUBEMEMBER("ThisWorkbookDataModel","[Measures].[Avg_CPUAnTuTu]")</f>
        <v>Avg_CPUAnTuTu</v>
      </c>
    </row>
    <row r="2" spans="1:3" x14ac:dyDescent="0.3">
      <c r="A2" s="9" t="str" vm="4">
        <f>CUBEMEMBER("ThisWorkbookDataModel","[Data_CPU].[company].&amp;[Apple]")</f>
        <v>Apple</v>
      </c>
      <c r="B2" s="10" vm="15">
        <f>CUBEVALUE("ThisWorkbookDataModel",$A2,B$1)</f>
        <v>2838.8571428571427</v>
      </c>
      <c r="C2" s="10" vm="23">
        <f>CUBEVALUE("ThisWorkbookDataModel",$A2,C$1)</f>
        <v>505852.14285714284</v>
      </c>
    </row>
    <row r="3" spans="1:3" x14ac:dyDescent="0.3">
      <c r="A3" s="9" t="str" vm="3">
        <f>CUBEMEMBER("ThisWorkbookDataModel","[Data_CPU].[company].&amp;[Google]")</f>
        <v>Google</v>
      </c>
      <c r="B3" s="10" vm="16">
        <f t="shared" ref="B3:B9" si="0">CUBEVALUE("ThisWorkbookDataModel",$A3,B$1)</f>
        <v>2845</v>
      </c>
      <c r="C3" s="10" vm="26">
        <f t="shared" ref="C3:C9" si="1">CUBEVALUE("ThisWorkbookDataModel",$A3,C$1)</f>
        <v>717527</v>
      </c>
    </row>
    <row r="4" spans="1:3" x14ac:dyDescent="0.3">
      <c r="A4" s="9" t="str" vm="2">
        <f>CUBEMEMBER("ThisWorkbookDataModel","[Data_CPU].[company].&amp;[HiSilicon]")</f>
        <v>HiSilicon</v>
      </c>
      <c r="B4" s="10" vm="10">
        <f t="shared" si="0"/>
        <v>2049.4375</v>
      </c>
      <c r="C4" s="10" vm="25">
        <f t="shared" si="1"/>
        <v>366704.6875</v>
      </c>
    </row>
    <row r="5" spans="1:3" x14ac:dyDescent="0.3">
      <c r="A5" s="9" t="str" vm="1">
        <f>CUBEMEMBER("ThisWorkbookDataModel","[Data_CPU].[company].&amp;[MediaTek]")</f>
        <v>MediaTek</v>
      </c>
      <c r="B5" s="10" vm="17">
        <f t="shared" si="0"/>
        <v>1833.909090909091</v>
      </c>
      <c r="C5" s="10" vm="24">
        <f t="shared" si="1"/>
        <v>350337.18181818182</v>
      </c>
    </row>
    <row r="6" spans="1:3" x14ac:dyDescent="0.3">
      <c r="A6" s="9" t="str" vm="8">
        <f>CUBEMEMBER("ThisWorkbookDataModel","[Data_CPU].[company].&amp;[Qualcomm]")</f>
        <v>Qualcomm</v>
      </c>
      <c r="B6" s="10" vm="11">
        <f t="shared" si="0"/>
        <v>1967.7619047619048</v>
      </c>
      <c r="C6" s="10" vm="19">
        <f t="shared" si="1"/>
        <v>386756.02380952379</v>
      </c>
    </row>
    <row r="7" spans="1:3" x14ac:dyDescent="0.3">
      <c r="A7" s="9" t="str" vm="7">
        <f>CUBEMEMBER("ThisWorkbookDataModel","[Data_CPU].[company].&amp;[Samsung]")</f>
        <v>Samsung</v>
      </c>
      <c r="B7" s="10" vm="12">
        <f t="shared" si="0"/>
        <v>1757.4285714285713</v>
      </c>
      <c r="C7" s="10" vm="20">
        <f t="shared" si="1"/>
        <v>357128.61904761905</v>
      </c>
    </row>
    <row r="8" spans="1:3" x14ac:dyDescent="0.3">
      <c r="A8" s="9" t="str" vm="6">
        <f>CUBEMEMBER("ThisWorkbookDataModel","[Data_CPU].[company].&amp;[Unisoc]")</f>
        <v>Unisoc</v>
      </c>
      <c r="B8" s="10" vm="13">
        <f t="shared" si="0"/>
        <v>1298.2</v>
      </c>
      <c r="C8" s="10" vm="22">
        <f t="shared" si="1"/>
        <v>212928.6</v>
      </c>
    </row>
    <row r="9" spans="1:3" x14ac:dyDescent="0.3">
      <c r="A9" s="9" t="str" vm="5">
        <f>CUBEMEMBER("ThisWorkbookDataModel","[Data_CPU].[company].[All]","Grand Total")</f>
        <v>Grand Total</v>
      </c>
      <c r="B9" s="10" vm="14">
        <f t="shared" si="0"/>
        <v>1936.56</v>
      </c>
      <c r="C9" s="10" vm="21">
        <f t="shared" si="1"/>
        <v>371959.92800000001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B6CC9-C5C0-457E-A5D1-64CE8DE145C2}">
  <dimension ref="A1:L33"/>
  <sheetViews>
    <sheetView zoomScale="55" zoomScaleNormal="55" workbookViewId="0">
      <selection activeCell="K33" sqref="K33:L33"/>
    </sheetView>
  </sheetViews>
  <sheetFormatPr defaultRowHeight="14.4" x14ac:dyDescent="0.3"/>
  <cols>
    <col min="1" max="1" width="21.88671875" bestFit="1" customWidth="1"/>
    <col min="2" max="2" width="33" bestFit="1" customWidth="1"/>
    <col min="4" max="4" width="21.88671875" bestFit="1" customWidth="1"/>
    <col min="5" max="5" width="30.33203125" bestFit="1" customWidth="1"/>
    <col min="6" max="6" width="28.44140625" bestFit="1" customWidth="1"/>
    <col min="7" max="7" width="14.33203125" bestFit="1" customWidth="1"/>
    <col min="8" max="8" width="18.44140625" bestFit="1" customWidth="1"/>
    <col min="9" max="9" width="33" bestFit="1" customWidth="1"/>
    <col min="10" max="10" width="19.6640625" bestFit="1" customWidth="1"/>
    <col min="11" max="11" width="18.44140625" bestFit="1" customWidth="1"/>
    <col min="12" max="12" width="25" bestFit="1" customWidth="1"/>
    <col min="14" max="14" width="12.5546875" bestFit="1" customWidth="1"/>
    <col min="15" max="15" width="24.5546875" bestFit="1" customWidth="1"/>
  </cols>
  <sheetData>
    <row r="1" spans="1:12" x14ac:dyDescent="0.3">
      <c r="A1" s="3" t="s">
        <v>4</v>
      </c>
      <c r="B1" t="s">
        <v>3</v>
      </c>
      <c r="D1" s="3" t="s">
        <v>4</v>
      </c>
      <c r="E1" t="s">
        <v>5</v>
      </c>
      <c r="F1" t="s">
        <v>6</v>
      </c>
      <c r="H1" s="3" t="s">
        <v>4</v>
      </c>
      <c r="I1" t="s">
        <v>3</v>
      </c>
      <c r="K1" s="3" t="s">
        <v>4</v>
      </c>
      <c r="L1" t="s">
        <v>31</v>
      </c>
    </row>
    <row r="2" spans="1:12" x14ac:dyDescent="0.3">
      <c r="A2" s="4" t="s">
        <v>8</v>
      </c>
      <c r="B2">
        <v>4093</v>
      </c>
      <c r="D2" s="4" t="s">
        <v>8</v>
      </c>
      <c r="E2">
        <v>1581</v>
      </c>
      <c r="F2">
        <v>4093</v>
      </c>
      <c r="H2" s="4">
        <v>2015</v>
      </c>
      <c r="I2">
        <v>1036</v>
      </c>
      <c r="K2" s="4" t="s">
        <v>7</v>
      </c>
      <c r="L2">
        <v>7</v>
      </c>
    </row>
    <row r="3" spans="1:12" x14ac:dyDescent="0.3">
      <c r="A3" s="4" t="s">
        <v>11</v>
      </c>
      <c r="B3">
        <v>4688</v>
      </c>
      <c r="D3" s="4" t="s">
        <v>11</v>
      </c>
      <c r="E3">
        <v>1727</v>
      </c>
      <c r="F3">
        <v>4688</v>
      </c>
      <c r="H3" s="4">
        <v>2016</v>
      </c>
      <c r="I3">
        <v>1151.1666666666667</v>
      </c>
      <c r="K3" s="4" t="s">
        <v>10</v>
      </c>
      <c r="L3">
        <v>1</v>
      </c>
    </row>
    <row r="4" spans="1:12" x14ac:dyDescent="0.3">
      <c r="A4" s="4" t="s">
        <v>13</v>
      </c>
      <c r="B4">
        <v>3775</v>
      </c>
      <c r="D4" s="4" t="s">
        <v>13</v>
      </c>
      <c r="E4">
        <v>915</v>
      </c>
      <c r="F4">
        <v>3775</v>
      </c>
      <c r="H4" s="4">
        <v>2017</v>
      </c>
      <c r="I4">
        <v>1342.1111111111111</v>
      </c>
      <c r="K4" s="4" t="s">
        <v>12</v>
      </c>
      <c r="L4">
        <v>16</v>
      </c>
    </row>
    <row r="5" spans="1:12" x14ac:dyDescent="0.3">
      <c r="A5" s="4" t="s">
        <v>15</v>
      </c>
      <c r="B5">
        <v>4267</v>
      </c>
      <c r="D5" s="4" t="s">
        <v>15</v>
      </c>
      <c r="E5">
        <v>1269</v>
      </c>
      <c r="F5">
        <v>4267</v>
      </c>
      <c r="H5" s="4">
        <v>2018</v>
      </c>
      <c r="I5">
        <v>1441.1052631578948</v>
      </c>
      <c r="K5" s="4" t="s">
        <v>14</v>
      </c>
      <c r="L5">
        <v>33</v>
      </c>
    </row>
    <row r="6" spans="1:12" x14ac:dyDescent="0.3">
      <c r="A6" s="4" t="s">
        <v>9</v>
      </c>
      <c r="B6">
        <v>3580</v>
      </c>
      <c r="D6" s="4" t="s">
        <v>9</v>
      </c>
      <c r="E6">
        <v>1082</v>
      </c>
      <c r="F6">
        <v>3580</v>
      </c>
      <c r="H6" s="4">
        <v>2019</v>
      </c>
      <c r="I6">
        <v>2039.8947368421052</v>
      </c>
      <c r="K6" s="4" t="s">
        <v>16</v>
      </c>
      <c r="L6">
        <v>42</v>
      </c>
    </row>
    <row r="7" spans="1:12" x14ac:dyDescent="0.3">
      <c r="A7" s="4" t="s">
        <v>18</v>
      </c>
      <c r="B7">
        <v>3677</v>
      </c>
      <c r="D7" s="4" t="s">
        <v>18</v>
      </c>
      <c r="E7">
        <v>1039</v>
      </c>
      <c r="F7">
        <v>3677</v>
      </c>
      <c r="H7" s="4">
        <v>2020</v>
      </c>
      <c r="I7">
        <v>1920.3658536585365</v>
      </c>
      <c r="K7" s="4" t="s">
        <v>17</v>
      </c>
      <c r="L7">
        <v>21</v>
      </c>
    </row>
    <row r="8" spans="1:12" x14ac:dyDescent="0.3">
      <c r="A8" s="4" t="s">
        <v>20</v>
      </c>
      <c r="B8">
        <v>3741</v>
      </c>
      <c r="D8" s="4" t="s">
        <v>20</v>
      </c>
      <c r="E8">
        <v>1060</v>
      </c>
      <c r="F8">
        <v>3741</v>
      </c>
      <c r="H8" s="4">
        <v>2021</v>
      </c>
      <c r="I8">
        <v>2560.909090909091</v>
      </c>
      <c r="K8" s="4" t="s">
        <v>19</v>
      </c>
      <c r="L8">
        <v>5</v>
      </c>
    </row>
    <row r="9" spans="1:12" x14ac:dyDescent="0.3">
      <c r="A9" s="4" t="s">
        <v>22</v>
      </c>
      <c r="B9">
        <v>3765</v>
      </c>
      <c r="D9" s="4" t="s">
        <v>22</v>
      </c>
      <c r="E9">
        <v>1213</v>
      </c>
      <c r="F9">
        <v>3765</v>
      </c>
      <c r="H9" s="4">
        <v>2022</v>
      </c>
      <c r="I9">
        <v>3127</v>
      </c>
      <c r="K9" s="4" t="s">
        <v>21</v>
      </c>
      <c r="L9">
        <v>125</v>
      </c>
    </row>
    <row r="10" spans="1:12" x14ac:dyDescent="0.3">
      <c r="A10" s="4" t="s">
        <v>23</v>
      </c>
      <c r="B10">
        <v>3673</v>
      </c>
      <c r="D10" s="4" t="s">
        <v>23</v>
      </c>
      <c r="E10">
        <v>1120</v>
      </c>
      <c r="F10">
        <v>3673</v>
      </c>
      <c r="H10" s="4" t="s">
        <v>21</v>
      </c>
      <c r="I10">
        <v>1936.56</v>
      </c>
    </row>
    <row r="11" spans="1:12" x14ac:dyDescent="0.3">
      <c r="A11" s="4" t="s">
        <v>24</v>
      </c>
      <c r="B11">
        <v>3626</v>
      </c>
      <c r="D11" s="4" t="s">
        <v>24</v>
      </c>
      <c r="E11">
        <v>1162</v>
      </c>
      <c r="F11">
        <v>3626</v>
      </c>
    </row>
    <row r="12" spans="1:12" x14ac:dyDescent="0.3">
      <c r="A12" s="4" t="s">
        <v>21</v>
      </c>
      <c r="B12">
        <v>3888.5</v>
      </c>
      <c r="D12" s="4" t="s">
        <v>21</v>
      </c>
      <c r="E12">
        <v>12168</v>
      </c>
      <c r="F12">
        <v>38885</v>
      </c>
    </row>
    <row r="33" spans="2:12" ht="321" customHeight="1" x14ac:dyDescent="0.3">
      <c r="B33" s="19" t="s">
        <v>32</v>
      </c>
      <c r="C33" s="19"/>
      <c r="E33" s="19" t="s">
        <v>33</v>
      </c>
      <c r="F33" s="19"/>
      <c r="H33" s="19" t="s">
        <v>34</v>
      </c>
      <c r="I33" s="19"/>
      <c r="K33" s="19" t="s">
        <v>35</v>
      </c>
      <c r="L33" s="19"/>
    </row>
  </sheetData>
  <mergeCells count="4">
    <mergeCell ref="B33:C33"/>
    <mergeCell ref="E33:F33"/>
    <mergeCell ref="H33:I33"/>
    <mergeCell ref="K33:L33"/>
  </mergeCells>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79662-8D9B-445E-814A-E33EE33B7E99}">
  <dimension ref="A1:R126"/>
  <sheetViews>
    <sheetView workbookViewId="0">
      <selection activeCell="E2" sqref="E2"/>
    </sheetView>
  </sheetViews>
  <sheetFormatPr defaultRowHeight="14.4" x14ac:dyDescent="0.3"/>
  <cols>
    <col min="1" max="1" width="7" bestFit="1" customWidth="1"/>
    <col min="2" max="2" width="11.109375" bestFit="1" customWidth="1"/>
    <col min="3" max="3" width="19.109375" bestFit="1" customWidth="1"/>
    <col min="4" max="4" width="17.5546875" bestFit="1" customWidth="1"/>
    <col min="5" max="5" width="17" bestFit="1" customWidth="1"/>
    <col min="6" max="6" width="9.88671875" bestFit="1" customWidth="1"/>
    <col min="7" max="7" width="12" bestFit="1" customWidth="1"/>
    <col min="8" max="8" width="12.33203125" bestFit="1" customWidth="1"/>
    <col min="9" max="9" width="12.6640625" bestFit="1" customWidth="1"/>
    <col min="10" max="10" width="19.33203125" bestFit="1" customWidth="1"/>
    <col min="11" max="11" width="13.6640625" bestFit="1" customWidth="1"/>
    <col min="12" max="12" width="13.88671875" customWidth="1"/>
    <col min="13" max="13" width="19.109375" bestFit="1" customWidth="1"/>
    <col min="14" max="14" width="14.6640625" bestFit="1" customWidth="1"/>
    <col min="15" max="15" width="17.33203125" bestFit="1" customWidth="1"/>
    <col min="16" max="16" width="13.88671875" bestFit="1" customWidth="1"/>
    <col min="17" max="17" width="15.44140625" bestFit="1" customWidth="1"/>
    <col min="18" max="18" width="12.88671875" bestFit="1" customWidth="1"/>
  </cols>
  <sheetData>
    <row r="1" spans="1:18" x14ac:dyDescent="0.3">
      <c r="A1" t="s">
        <v>36</v>
      </c>
      <c r="B1" t="s">
        <v>37</v>
      </c>
      <c r="C1" t="s">
        <v>38</v>
      </c>
      <c r="D1" t="s">
        <v>39</v>
      </c>
      <c r="E1" t="s">
        <v>40</v>
      </c>
      <c r="F1" t="s">
        <v>41</v>
      </c>
      <c r="G1" t="s">
        <v>42</v>
      </c>
      <c r="H1" t="s">
        <v>43</v>
      </c>
      <c r="I1" t="s">
        <v>44</v>
      </c>
      <c r="J1" t="s">
        <v>45</v>
      </c>
      <c r="K1" t="s">
        <v>46</v>
      </c>
      <c r="L1" t="s">
        <v>47</v>
      </c>
      <c r="M1" t="s">
        <v>48</v>
      </c>
      <c r="N1" t="s">
        <v>49</v>
      </c>
      <c r="O1" s="12" t="s">
        <v>50</v>
      </c>
      <c r="P1" s="13" t="s">
        <v>51</v>
      </c>
      <c r="Q1" s="13" t="s">
        <v>52</v>
      </c>
      <c r="R1" s="13" t="s">
        <v>53</v>
      </c>
    </row>
    <row r="2" spans="1:18" x14ac:dyDescent="0.3">
      <c r="A2">
        <v>1</v>
      </c>
      <c r="B2" t="s">
        <v>7</v>
      </c>
      <c r="C2" t="s">
        <v>11</v>
      </c>
      <c r="D2">
        <v>1727</v>
      </c>
      <c r="E2">
        <v>4688</v>
      </c>
      <c r="F2">
        <v>794346</v>
      </c>
      <c r="G2">
        <v>6</v>
      </c>
      <c r="H2" t="s">
        <v>54</v>
      </c>
      <c r="I2">
        <v>3223</v>
      </c>
      <c r="J2" t="s">
        <v>55</v>
      </c>
      <c r="K2">
        <v>2021</v>
      </c>
      <c r="L2" s="1">
        <v>44197</v>
      </c>
      <c r="M2" t="str">
        <f>TRIM(Data_CPU[[#This Row],[cpuName]])</f>
        <v>A15 Bionic</v>
      </c>
      <c r="N2">
        <f>YEAR(Data_CPU[[#This Row],[release_date]])</f>
        <v>2021</v>
      </c>
      <c r="O2" t="str">
        <f t="shared" ref="O2:O33" si="0">IF(E2&gt;=3000,"Flagship",IF(E2&gt;=2000,"High-end",IF(E2&gt;=1000,"Mid-range","Entry")))</f>
        <v>Flagship</v>
      </c>
      <c r="P2">
        <f t="shared" ref="P2:P33" si="1">ROUND(E2/(I2/1000),0)</f>
        <v>1455</v>
      </c>
      <c r="Q2" t="str">
        <f t="shared" ref="Q2:Q33" si="2">IF(H2&gt;3000,"&gt;3.0 GHz",IF(H2&gt;2500,"2.5-3.0 GHz",IF(H2&gt;2000,"2.0-2.5 GHz","≤2.0 GHz")))</f>
        <v>&gt;3.0 GHz</v>
      </c>
      <c r="R2" t="str">
        <f t="shared" ref="R2:R33" si="3">IF(F2&gt;=800000,"Ultra",IF(F2&gt;=600000,"High",IF(F2&gt;=300000,"Mid","Low")))</f>
        <v>High</v>
      </c>
    </row>
    <row r="3" spans="1:18" x14ac:dyDescent="0.3">
      <c r="A3">
        <v>2</v>
      </c>
      <c r="B3" t="s">
        <v>14</v>
      </c>
      <c r="C3" t="s">
        <v>15</v>
      </c>
      <c r="D3">
        <v>1269</v>
      </c>
      <c r="E3">
        <v>4267</v>
      </c>
      <c r="F3">
        <v>1017817</v>
      </c>
      <c r="G3">
        <v>8</v>
      </c>
      <c r="H3" t="s">
        <v>56</v>
      </c>
      <c r="I3">
        <v>3050</v>
      </c>
      <c r="J3" t="s">
        <v>57</v>
      </c>
      <c r="K3">
        <v>2022</v>
      </c>
      <c r="L3" s="1">
        <v>44562</v>
      </c>
      <c r="M3" t="str">
        <f>TRIM(Data_CPU[[#This Row],[cpuName]])</f>
        <v>Dimensity 9000</v>
      </c>
      <c r="N3">
        <f>YEAR(Data_CPU[[#This Row],[release_date]])</f>
        <v>2022</v>
      </c>
      <c r="O3" t="str">
        <f t="shared" si="0"/>
        <v>Flagship</v>
      </c>
      <c r="P3">
        <f t="shared" si="1"/>
        <v>1399</v>
      </c>
      <c r="Q3" t="str">
        <f t="shared" si="2"/>
        <v>&gt;3.0 GHz</v>
      </c>
      <c r="R3" t="str">
        <f t="shared" si="3"/>
        <v>Ultra</v>
      </c>
    </row>
    <row r="4" spans="1:18" x14ac:dyDescent="0.3">
      <c r="A4">
        <v>4</v>
      </c>
      <c r="B4" t="s">
        <v>7</v>
      </c>
      <c r="C4" t="s">
        <v>8</v>
      </c>
      <c r="D4">
        <v>1581</v>
      </c>
      <c r="E4">
        <v>4093</v>
      </c>
      <c r="F4">
        <v>730211</v>
      </c>
      <c r="G4">
        <v>6</v>
      </c>
      <c r="H4" t="s">
        <v>54</v>
      </c>
      <c r="I4">
        <v>3100</v>
      </c>
      <c r="J4" t="s">
        <v>55</v>
      </c>
      <c r="K4">
        <v>2020</v>
      </c>
      <c r="L4" s="1">
        <v>43831</v>
      </c>
      <c r="M4" t="str">
        <f>TRIM(Data_CPU[[#This Row],[cpuName]])</f>
        <v>A14 Bionic</v>
      </c>
      <c r="N4">
        <f>YEAR(Data_CPU[[#This Row],[release_date]])</f>
        <v>2020</v>
      </c>
      <c r="O4" t="str">
        <f t="shared" si="0"/>
        <v>Flagship</v>
      </c>
      <c r="P4">
        <f t="shared" si="1"/>
        <v>1320</v>
      </c>
      <c r="Q4" t="str">
        <f t="shared" si="2"/>
        <v>&gt;3.0 GHz</v>
      </c>
      <c r="R4" t="str">
        <f t="shared" si="3"/>
        <v>High</v>
      </c>
    </row>
    <row r="5" spans="1:18" x14ac:dyDescent="0.3">
      <c r="A5">
        <v>8</v>
      </c>
      <c r="B5" t="s">
        <v>14</v>
      </c>
      <c r="C5" t="s">
        <v>13</v>
      </c>
      <c r="D5">
        <v>915</v>
      </c>
      <c r="E5">
        <v>3775</v>
      </c>
      <c r="F5">
        <v>780778</v>
      </c>
      <c r="G5">
        <v>8</v>
      </c>
      <c r="H5" t="s">
        <v>58</v>
      </c>
      <c r="I5">
        <v>2850</v>
      </c>
      <c r="J5" t="s">
        <v>59</v>
      </c>
      <c r="K5">
        <v>2022</v>
      </c>
      <c r="L5" s="1">
        <v>44562</v>
      </c>
      <c r="M5" t="str">
        <f>TRIM(Data_CPU[[#This Row],[cpuName]])</f>
        <v>Dimensity 8100</v>
      </c>
      <c r="N5">
        <f>YEAR(Data_CPU[[#This Row],[release_date]])</f>
        <v>2022</v>
      </c>
      <c r="O5" t="str">
        <f t="shared" si="0"/>
        <v>Flagship</v>
      </c>
      <c r="P5">
        <f t="shared" si="1"/>
        <v>1325</v>
      </c>
      <c r="Q5" t="str">
        <f t="shared" si="2"/>
        <v>&gt;3.0 GHz</v>
      </c>
      <c r="R5" t="str">
        <f t="shared" si="3"/>
        <v>High</v>
      </c>
    </row>
    <row r="6" spans="1:18" x14ac:dyDescent="0.3">
      <c r="A6">
        <v>3</v>
      </c>
      <c r="B6" t="s">
        <v>16</v>
      </c>
      <c r="C6" t="s">
        <v>22</v>
      </c>
      <c r="D6">
        <v>1213</v>
      </c>
      <c r="E6">
        <v>3765</v>
      </c>
      <c r="F6">
        <v>1028349</v>
      </c>
      <c r="G6">
        <v>8</v>
      </c>
      <c r="H6" t="s">
        <v>56</v>
      </c>
      <c r="I6">
        <v>3000</v>
      </c>
      <c r="J6" t="s">
        <v>60</v>
      </c>
      <c r="K6">
        <v>2022</v>
      </c>
      <c r="L6" s="1">
        <v>44562</v>
      </c>
      <c r="M6" t="str">
        <f>TRIM(Data_CPU[[#This Row],[cpuName]])</f>
        <v>Snapdragon 8 Gen 1</v>
      </c>
      <c r="N6">
        <f>YEAR(Data_CPU[[#This Row],[release_date]])</f>
        <v>2022</v>
      </c>
      <c r="O6" t="str">
        <f t="shared" si="0"/>
        <v>Flagship</v>
      </c>
      <c r="P6">
        <f t="shared" si="1"/>
        <v>1255</v>
      </c>
      <c r="Q6" t="str">
        <f t="shared" si="2"/>
        <v>&gt;3.0 GHz</v>
      </c>
      <c r="R6" t="str">
        <f t="shared" si="3"/>
        <v>Ultra</v>
      </c>
    </row>
    <row r="7" spans="1:18" x14ac:dyDescent="0.3">
      <c r="A7">
        <v>14</v>
      </c>
      <c r="B7" t="s">
        <v>12</v>
      </c>
      <c r="C7" t="s">
        <v>20</v>
      </c>
      <c r="D7">
        <v>1060</v>
      </c>
      <c r="E7">
        <v>3741</v>
      </c>
      <c r="F7">
        <v>726361</v>
      </c>
      <c r="G7">
        <v>8</v>
      </c>
      <c r="H7" t="s">
        <v>56</v>
      </c>
      <c r="I7">
        <v>3130</v>
      </c>
      <c r="J7" t="s">
        <v>61</v>
      </c>
      <c r="K7">
        <v>2020</v>
      </c>
      <c r="L7" s="1">
        <v>43831</v>
      </c>
      <c r="M7" t="str">
        <f>TRIM(Data_CPU[[#This Row],[cpuName]])</f>
        <v>Kirin 9000E</v>
      </c>
      <c r="N7">
        <f>YEAR(Data_CPU[[#This Row],[release_date]])</f>
        <v>2020</v>
      </c>
      <c r="O7" t="str">
        <f t="shared" si="0"/>
        <v>Flagship</v>
      </c>
      <c r="P7">
        <f t="shared" si="1"/>
        <v>1195</v>
      </c>
      <c r="Q7" t="str">
        <f t="shared" si="2"/>
        <v>&gt;3.0 GHz</v>
      </c>
      <c r="R7" t="str">
        <f t="shared" si="3"/>
        <v>High</v>
      </c>
    </row>
    <row r="8" spans="1:18" x14ac:dyDescent="0.3">
      <c r="A8">
        <v>10</v>
      </c>
      <c r="B8" t="s">
        <v>12</v>
      </c>
      <c r="C8" t="s">
        <v>18</v>
      </c>
      <c r="D8">
        <v>1039</v>
      </c>
      <c r="E8">
        <v>3677</v>
      </c>
      <c r="F8">
        <v>761270</v>
      </c>
      <c r="G8">
        <v>8</v>
      </c>
      <c r="H8" t="s">
        <v>56</v>
      </c>
      <c r="I8">
        <v>3130</v>
      </c>
      <c r="J8" t="s">
        <v>62</v>
      </c>
      <c r="K8">
        <v>2020</v>
      </c>
      <c r="L8" s="1">
        <v>43831</v>
      </c>
      <c r="M8" t="str">
        <f>TRIM(Data_CPU[[#This Row],[cpuName]])</f>
        <v>Kirin 9000</v>
      </c>
      <c r="N8">
        <f>YEAR(Data_CPU[[#This Row],[release_date]])</f>
        <v>2020</v>
      </c>
      <c r="O8" t="str">
        <f t="shared" si="0"/>
        <v>Flagship</v>
      </c>
      <c r="P8">
        <f t="shared" si="1"/>
        <v>1175</v>
      </c>
      <c r="Q8" t="str">
        <f t="shared" si="2"/>
        <v>&gt;3.0 GHz</v>
      </c>
      <c r="R8" t="str">
        <f t="shared" si="3"/>
        <v>High</v>
      </c>
    </row>
    <row r="9" spans="1:18" x14ac:dyDescent="0.3">
      <c r="A9">
        <v>7</v>
      </c>
      <c r="B9" t="s">
        <v>16</v>
      </c>
      <c r="C9" t="s">
        <v>23</v>
      </c>
      <c r="D9">
        <v>1120</v>
      </c>
      <c r="E9">
        <v>3673</v>
      </c>
      <c r="F9">
        <v>792308</v>
      </c>
      <c r="G9">
        <v>8</v>
      </c>
      <c r="H9" t="s">
        <v>56</v>
      </c>
      <c r="I9">
        <v>2840</v>
      </c>
      <c r="J9" t="s">
        <v>63</v>
      </c>
      <c r="K9">
        <v>2021</v>
      </c>
      <c r="L9" s="1">
        <v>44197</v>
      </c>
      <c r="M9" t="str">
        <f>TRIM(Data_CPU[[#This Row],[cpuName]])</f>
        <v>Snapdragon 888</v>
      </c>
      <c r="N9">
        <f>YEAR(Data_CPU[[#This Row],[release_date]])</f>
        <v>2021</v>
      </c>
      <c r="O9" t="str">
        <f t="shared" si="0"/>
        <v>Flagship</v>
      </c>
      <c r="P9">
        <f t="shared" si="1"/>
        <v>1293</v>
      </c>
      <c r="Q9" t="str">
        <f t="shared" si="2"/>
        <v>&gt;3.0 GHz</v>
      </c>
      <c r="R9" t="str">
        <f t="shared" si="3"/>
        <v>High</v>
      </c>
    </row>
    <row r="10" spans="1:18" x14ac:dyDescent="0.3">
      <c r="A10">
        <v>5</v>
      </c>
      <c r="B10" t="s">
        <v>16</v>
      </c>
      <c r="C10" t="s">
        <v>24</v>
      </c>
      <c r="D10">
        <v>1162</v>
      </c>
      <c r="E10">
        <v>3626</v>
      </c>
      <c r="F10">
        <v>838764</v>
      </c>
      <c r="G10">
        <v>8</v>
      </c>
      <c r="H10" t="s">
        <v>56</v>
      </c>
      <c r="I10">
        <v>2995</v>
      </c>
      <c r="J10" t="s">
        <v>63</v>
      </c>
      <c r="K10">
        <v>2021</v>
      </c>
      <c r="L10" s="1">
        <v>44197</v>
      </c>
      <c r="M10" t="str">
        <f>TRIM(Data_CPU[[#This Row],[cpuName]])</f>
        <v>Snapdragon 888 Plus</v>
      </c>
      <c r="N10">
        <f>YEAR(Data_CPU[[#This Row],[release_date]])</f>
        <v>2021</v>
      </c>
      <c r="O10" t="str">
        <f t="shared" si="0"/>
        <v>Flagship</v>
      </c>
      <c r="P10">
        <f t="shared" si="1"/>
        <v>1211</v>
      </c>
      <c r="Q10" t="str">
        <f t="shared" si="2"/>
        <v>&gt;3.0 GHz</v>
      </c>
      <c r="R10" t="str">
        <f t="shared" si="3"/>
        <v>Ultra</v>
      </c>
    </row>
    <row r="11" spans="1:18" x14ac:dyDescent="0.3">
      <c r="A11">
        <v>11</v>
      </c>
      <c r="B11" t="s">
        <v>17</v>
      </c>
      <c r="C11" t="s">
        <v>9</v>
      </c>
      <c r="D11">
        <v>1082</v>
      </c>
      <c r="E11">
        <v>3580</v>
      </c>
      <c r="F11">
        <v>747506</v>
      </c>
      <c r="G11">
        <v>8</v>
      </c>
      <c r="H11" t="s">
        <v>56</v>
      </c>
      <c r="I11">
        <v>2900</v>
      </c>
      <c r="J11" t="s">
        <v>64</v>
      </c>
      <c r="K11">
        <v>2021</v>
      </c>
      <c r="L11" s="1">
        <v>44197</v>
      </c>
      <c r="M11" t="str">
        <f>TRIM(Data_CPU[[#This Row],[cpuName]])</f>
        <v>Exynos 2100</v>
      </c>
      <c r="N11">
        <f>YEAR(Data_CPU[[#This Row],[release_date]])</f>
        <v>2021</v>
      </c>
      <c r="O11" t="str">
        <f t="shared" si="0"/>
        <v>Flagship</v>
      </c>
      <c r="P11">
        <f t="shared" si="1"/>
        <v>1234</v>
      </c>
      <c r="Q11" t="str">
        <f t="shared" si="2"/>
        <v>&gt;3.0 GHz</v>
      </c>
      <c r="R11" t="str">
        <f t="shared" si="3"/>
        <v>High</v>
      </c>
    </row>
    <row r="12" spans="1:18" x14ac:dyDescent="0.3">
      <c r="A12">
        <v>6</v>
      </c>
      <c r="B12" t="s">
        <v>17</v>
      </c>
      <c r="C12" t="s">
        <v>65</v>
      </c>
      <c r="D12">
        <v>1146</v>
      </c>
      <c r="E12">
        <v>3534</v>
      </c>
      <c r="F12">
        <v>963986</v>
      </c>
      <c r="G12">
        <v>8</v>
      </c>
      <c r="H12" t="s">
        <v>56</v>
      </c>
      <c r="I12">
        <v>2800</v>
      </c>
      <c r="J12" t="s">
        <v>66</v>
      </c>
      <c r="K12">
        <v>2022</v>
      </c>
      <c r="L12" s="1">
        <v>44562</v>
      </c>
      <c r="M12" t="str">
        <f>TRIM(Data_CPU[[#This Row],[cpuName]])</f>
        <v>Exynos 2200</v>
      </c>
      <c r="N12">
        <f>YEAR(Data_CPU[[#This Row],[release_date]])</f>
        <v>2022</v>
      </c>
      <c r="O12" t="str">
        <f t="shared" si="0"/>
        <v>Flagship</v>
      </c>
      <c r="P12">
        <f t="shared" si="1"/>
        <v>1262</v>
      </c>
      <c r="Q12" t="str">
        <f t="shared" si="2"/>
        <v>&gt;3.0 GHz</v>
      </c>
      <c r="R12" t="str">
        <f t="shared" si="3"/>
        <v>Ultra</v>
      </c>
    </row>
    <row r="13" spans="1:18" x14ac:dyDescent="0.3">
      <c r="A13">
        <v>12</v>
      </c>
      <c r="B13" t="s">
        <v>7</v>
      </c>
      <c r="C13" t="s">
        <v>67</v>
      </c>
      <c r="D13">
        <v>1321</v>
      </c>
      <c r="E13">
        <v>3494</v>
      </c>
      <c r="F13">
        <v>604579</v>
      </c>
      <c r="G13">
        <v>6</v>
      </c>
      <c r="H13" t="s">
        <v>54</v>
      </c>
      <c r="I13">
        <v>2660</v>
      </c>
      <c r="J13" t="s">
        <v>68</v>
      </c>
      <c r="K13">
        <v>2019</v>
      </c>
      <c r="L13" s="1">
        <v>43466</v>
      </c>
      <c r="M13" t="str">
        <f>TRIM(Data_CPU[[#This Row],[cpuName]])</f>
        <v>A13 Bionic</v>
      </c>
      <c r="N13">
        <f>YEAR(Data_CPU[[#This Row],[release_date]])</f>
        <v>2019</v>
      </c>
      <c r="O13" t="str">
        <f t="shared" si="0"/>
        <v>Flagship</v>
      </c>
      <c r="P13">
        <f t="shared" si="1"/>
        <v>1314</v>
      </c>
      <c r="Q13" t="str">
        <f t="shared" si="2"/>
        <v>&gt;3.0 GHz</v>
      </c>
      <c r="R13" t="str">
        <f t="shared" si="3"/>
        <v>High</v>
      </c>
    </row>
    <row r="14" spans="1:18" x14ac:dyDescent="0.3">
      <c r="A14">
        <v>18</v>
      </c>
      <c r="B14" t="s">
        <v>16</v>
      </c>
      <c r="C14" t="s">
        <v>69</v>
      </c>
      <c r="D14">
        <v>929</v>
      </c>
      <c r="E14">
        <v>3418</v>
      </c>
      <c r="F14">
        <v>648129</v>
      </c>
      <c r="G14">
        <v>8</v>
      </c>
      <c r="H14" t="s">
        <v>56</v>
      </c>
      <c r="I14">
        <v>2840</v>
      </c>
      <c r="J14" t="s">
        <v>70</v>
      </c>
      <c r="K14">
        <v>2020</v>
      </c>
      <c r="L14" s="1">
        <v>43831</v>
      </c>
      <c r="M14" t="str">
        <f>TRIM(Data_CPU[[#This Row],[cpuName]])</f>
        <v>Snapdragon 865</v>
      </c>
      <c r="N14">
        <f>YEAR(Data_CPU[[#This Row],[release_date]])</f>
        <v>2020</v>
      </c>
      <c r="O14" t="str">
        <f t="shared" si="0"/>
        <v>Flagship</v>
      </c>
      <c r="P14">
        <f t="shared" si="1"/>
        <v>1204</v>
      </c>
      <c r="Q14" t="str">
        <f t="shared" si="2"/>
        <v>&gt;3.0 GHz</v>
      </c>
      <c r="R14" t="str">
        <f t="shared" si="3"/>
        <v>High</v>
      </c>
    </row>
    <row r="15" spans="1:18" x14ac:dyDescent="0.3">
      <c r="A15">
        <v>13</v>
      </c>
      <c r="B15" t="s">
        <v>16</v>
      </c>
      <c r="C15" t="s">
        <v>71</v>
      </c>
      <c r="D15">
        <v>993</v>
      </c>
      <c r="E15">
        <v>3371</v>
      </c>
      <c r="F15">
        <v>692361</v>
      </c>
      <c r="G15">
        <v>8</v>
      </c>
      <c r="H15" t="s">
        <v>56</v>
      </c>
      <c r="I15">
        <v>3200</v>
      </c>
      <c r="J15" t="s">
        <v>70</v>
      </c>
      <c r="K15">
        <v>2021</v>
      </c>
      <c r="L15" s="1">
        <v>44197</v>
      </c>
      <c r="M15" t="str">
        <f>TRIM(Data_CPU[[#This Row],[cpuName]])</f>
        <v>Snapdragon 870</v>
      </c>
      <c r="N15">
        <f>YEAR(Data_CPU[[#This Row],[release_date]])</f>
        <v>2021</v>
      </c>
      <c r="O15" t="str">
        <f t="shared" si="0"/>
        <v>Flagship</v>
      </c>
      <c r="P15">
        <f t="shared" si="1"/>
        <v>1053</v>
      </c>
      <c r="Q15" t="str">
        <f t="shared" si="2"/>
        <v>&gt;3.0 GHz</v>
      </c>
      <c r="R15" t="str">
        <f t="shared" si="3"/>
        <v>High</v>
      </c>
    </row>
    <row r="16" spans="1:18" x14ac:dyDescent="0.3">
      <c r="A16">
        <v>17</v>
      </c>
      <c r="B16" t="s">
        <v>14</v>
      </c>
      <c r="C16" t="s">
        <v>72</v>
      </c>
      <c r="D16">
        <v>972</v>
      </c>
      <c r="E16">
        <v>3304</v>
      </c>
      <c r="F16">
        <v>668930</v>
      </c>
      <c r="G16">
        <v>8</v>
      </c>
      <c r="H16" t="s">
        <v>56</v>
      </c>
      <c r="I16">
        <v>3000</v>
      </c>
      <c r="J16" t="s">
        <v>73</v>
      </c>
      <c r="K16">
        <v>2021</v>
      </c>
      <c r="L16" s="1">
        <v>44197</v>
      </c>
      <c r="M16" t="str">
        <f>TRIM(Data_CPU[[#This Row],[cpuName]])</f>
        <v>Dimensity 1200</v>
      </c>
      <c r="N16">
        <f>YEAR(Data_CPU[[#This Row],[release_date]])</f>
        <v>2021</v>
      </c>
      <c r="O16" t="str">
        <f t="shared" si="0"/>
        <v>Flagship</v>
      </c>
      <c r="P16">
        <f t="shared" si="1"/>
        <v>1101</v>
      </c>
      <c r="Q16" t="str">
        <f t="shared" si="2"/>
        <v>&gt;3.0 GHz</v>
      </c>
      <c r="R16" t="str">
        <f t="shared" si="3"/>
        <v>High</v>
      </c>
    </row>
    <row r="17" spans="1:18" x14ac:dyDescent="0.3">
      <c r="A17">
        <v>16</v>
      </c>
      <c r="B17" t="s">
        <v>16</v>
      </c>
      <c r="C17" t="s">
        <v>74</v>
      </c>
      <c r="D17">
        <v>913</v>
      </c>
      <c r="E17">
        <v>3268</v>
      </c>
      <c r="F17">
        <v>701680</v>
      </c>
      <c r="G17">
        <v>8</v>
      </c>
      <c r="H17" t="s">
        <v>56</v>
      </c>
      <c r="I17">
        <v>3100</v>
      </c>
      <c r="J17" t="s">
        <v>70</v>
      </c>
      <c r="K17">
        <v>2020</v>
      </c>
      <c r="L17" s="1">
        <v>43831</v>
      </c>
      <c r="M17" t="str">
        <f>TRIM(Data_CPU[[#This Row],[cpuName]])</f>
        <v>Snapdragon 865 Plus</v>
      </c>
      <c r="N17">
        <f>YEAR(Data_CPU[[#This Row],[release_date]])</f>
        <v>2020</v>
      </c>
      <c r="O17" t="str">
        <f t="shared" si="0"/>
        <v>Flagship</v>
      </c>
      <c r="P17">
        <f t="shared" si="1"/>
        <v>1054</v>
      </c>
      <c r="Q17" t="str">
        <f t="shared" si="2"/>
        <v>&gt;3.0 GHz</v>
      </c>
      <c r="R17" t="str">
        <f t="shared" si="3"/>
        <v>High</v>
      </c>
    </row>
    <row r="18" spans="1:18" x14ac:dyDescent="0.3">
      <c r="A18">
        <v>25</v>
      </c>
      <c r="B18" t="s">
        <v>12</v>
      </c>
      <c r="C18" t="s">
        <v>75</v>
      </c>
      <c r="D18">
        <v>767</v>
      </c>
      <c r="E18">
        <v>3051</v>
      </c>
      <c r="F18">
        <v>556879</v>
      </c>
      <c r="G18">
        <v>8</v>
      </c>
      <c r="H18" t="s">
        <v>76</v>
      </c>
      <c r="I18">
        <v>2860</v>
      </c>
      <c r="J18" t="s">
        <v>77</v>
      </c>
      <c r="K18">
        <v>2019</v>
      </c>
      <c r="L18" s="1">
        <v>43466</v>
      </c>
      <c r="M18" t="str">
        <f>TRIM(Data_CPU[[#This Row],[cpuName]])</f>
        <v>Kirin 990 (5G)</v>
      </c>
      <c r="N18">
        <f>YEAR(Data_CPU[[#This Row],[release_date]])</f>
        <v>2019</v>
      </c>
      <c r="O18" t="str">
        <f t="shared" si="0"/>
        <v>Flagship</v>
      </c>
      <c r="P18">
        <f t="shared" si="1"/>
        <v>1067</v>
      </c>
      <c r="Q18" t="str">
        <f t="shared" si="2"/>
        <v>&gt;3.0 GHz</v>
      </c>
      <c r="R18" t="str">
        <f t="shared" si="3"/>
        <v>Mid</v>
      </c>
    </row>
    <row r="19" spans="1:18" x14ac:dyDescent="0.3">
      <c r="A19">
        <v>30</v>
      </c>
      <c r="B19" t="s">
        <v>12</v>
      </c>
      <c r="C19" t="s">
        <v>78</v>
      </c>
      <c r="D19">
        <v>739</v>
      </c>
      <c r="E19">
        <v>3041</v>
      </c>
      <c r="F19">
        <v>494746</v>
      </c>
      <c r="G19">
        <v>8</v>
      </c>
      <c r="H19" t="s">
        <v>76</v>
      </c>
      <c r="I19">
        <v>2860</v>
      </c>
      <c r="J19" t="s">
        <v>77</v>
      </c>
      <c r="K19">
        <v>2019</v>
      </c>
      <c r="L19" s="1">
        <v>43466</v>
      </c>
      <c r="M19" t="str">
        <f>TRIM(Data_CPU[[#This Row],[cpuName]])</f>
        <v>Kirin 990 (4G)</v>
      </c>
      <c r="N19">
        <f>YEAR(Data_CPU[[#This Row],[release_date]])</f>
        <v>2019</v>
      </c>
      <c r="O19" t="str">
        <f t="shared" si="0"/>
        <v>Flagship</v>
      </c>
      <c r="P19">
        <f t="shared" si="1"/>
        <v>1063</v>
      </c>
      <c r="Q19" t="str">
        <f t="shared" si="2"/>
        <v>&gt;3.0 GHz</v>
      </c>
      <c r="R19" t="str">
        <f t="shared" si="3"/>
        <v>Mid</v>
      </c>
    </row>
    <row r="20" spans="1:18" x14ac:dyDescent="0.3">
      <c r="A20">
        <v>26</v>
      </c>
      <c r="B20" t="s">
        <v>16</v>
      </c>
      <c r="C20" t="s">
        <v>79</v>
      </c>
      <c r="D20">
        <v>815</v>
      </c>
      <c r="E20">
        <v>2959</v>
      </c>
      <c r="F20">
        <v>543604</v>
      </c>
      <c r="G20">
        <v>8</v>
      </c>
      <c r="H20" t="s">
        <v>56</v>
      </c>
      <c r="I20">
        <v>2500</v>
      </c>
      <c r="J20" t="s">
        <v>80</v>
      </c>
      <c r="K20">
        <v>2021</v>
      </c>
      <c r="L20" s="1">
        <v>44197</v>
      </c>
      <c r="M20" t="str">
        <f>TRIM(Data_CPU[[#This Row],[cpuName]])</f>
        <v>Snapdragon 778G Plus</v>
      </c>
      <c r="N20">
        <f>YEAR(Data_CPU[[#This Row],[release_date]])</f>
        <v>2021</v>
      </c>
      <c r="O20" t="str">
        <f t="shared" si="0"/>
        <v>High-end</v>
      </c>
      <c r="P20">
        <f t="shared" si="1"/>
        <v>1184</v>
      </c>
      <c r="Q20" t="str">
        <f t="shared" si="2"/>
        <v>&gt;3.0 GHz</v>
      </c>
      <c r="R20" t="str">
        <f t="shared" si="3"/>
        <v>Mid</v>
      </c>
    </row>
    <row r="21" spans="1:18" x14ac:dyDescent="0.3">
      <c r="A21">
        <v>22</v>
      </c>
      <c r="B21" t="s">
        <v>7</v>
      </c>
      <c r="C21" t="s">
        <v>81</v>
      </c>
      <c r="D21">
        <v>1116</v>
      </c>
      <c r="E21">
        <v>2908</v>
      </c>
      <c r="F21">
        <v>527150</v>
      </c>
      <c r="G21">
        <v>6</v>
      </c>
      <c r="H21" t="s">
        <v>54</v>
      </c>
      <c r="I21">
        <v>2490</v>
      </c>
      <c r="J21" t="s">
        <v>82</v>
      </c>
      <c r="K21">
        <v>2018</v>
      </c>
      <c r="L21" s="1">
        <v>43101</v>
      </c>
      <c r="M21" t="str">
        <f>TRIM(Data_CPU[[#This Row],[cpuName]])</f>
        <v>A12 Bionic</v>
      </c>
      <c r="N21">
        <f>YEAR(Data_CPU[[#This Row],[release_date]])</f>
        <v>2018</v>
      </c>
      <c r="O21" t="str">
        <f t="shared" si="0"/>
        <v>High-end</v>
      </c>
      <c r="P21">
        <f t="shared" si="1"/>
        <v>1168</v>
      </c>
      <c r="Q21" t="str">
        <f t="shared" si="2"/>
        <v>&gt;3.0 GHz</v>
      </c>
      <c r="R21" t="str">
        <f t="shared" si="3"/>
        <v>Mid</v>
      </c>
    </row>
    <row r="22" spans="1:18" x14ac:dyDescent="0.3">
      <c r="A22">
        <v>15</v>
      </c>
      <c r="B22" t="s">
        <v>17</v>
      </c>
      <c r="C22" t="s">
        <v>83</v>
      </c>
      <c r="D22">
        <v>831</v>
      </c>
      <c r="E22">
        <v>2902</v>
      </c>
      <c r="F22">
        <v>699942</v>
      </c>
      <c r="G22">
        <v>8</v>
      </c>
      <c r="H22" t="s">
        <v>56</v>
      </c>
      <c r="I22">
        <v>2800</v>
      </c>
      <c r="J22" t="s">
        <v>84</v>
      </c>
      <c r="K22">
        <v>2020</v>
      </c>
      <c r="L22" s="1">
        <v>43831</v>
      </c>
      <c r="M22" t="str">
        <f>TRIM(Data_CPU[[#This Row],[cpuName]])</f>
        <v>Exynos 1080</v>
      </c>
      <c r="N22">
        <f>YEAR(Data_CPU[[#This Row],[release_date]])</f>
        <v>2020</v>
      </c>
      <c r="O22" t="str">
        <f t="shared" si="0"/>
        <v>High-end</v>
      </c>
      <c r="P22">
        <f t="shared" si="1"/>
        <v>1036</v>
      </c>
      <c r="Q22" t="str">
        <f t="shared" si="2"/>
        <v>&gt;3.0 GHz</v>
      </c>
      <c r="R22" t="str">
        <f t="shared" si="3"/>
        <v>High</v>
      </c>
    </row>
    <row r="23" spans="1:18" x14ac:dyDescent="0.3">
      <c r="A23">
        <v>27</v>
      </c>
      <c r="B23" t="s">
        <v>16</v>
      </c>
      <c r="C23" t="s">
        <v>85</v>
      </c>
      <c r="D23">
        <v>799</v>
      </c>
      <c r="E23">
        <v>2886</v>
      </c>
      <c r="F23">
        <v>528891</v>
      </c>
      <c r="G23">
        <v>8</v>
      </c>
      <c r="H23" t="s">
        <v>56</v>
      </c>
      <c r="I23">
        <v>2400</v>
      </c>
      <c r="J23" t="s">
        <v>86</v>
      </c>
      <c r="K23">
        <v>2021</v>
      </c>
      <c r="L23" s="1">
        <v>44197</v>
      </c>
      <c r="M23" t="str">
        <f>TRIM(Data_CPU[[#This Row],[cpuName]])</f>
        <v>Snapdragon 780G</v>
      </c>
      <c r="N23">
        <f>YEAR(Data_CPU[[#This Row],[release_date]])</f>
        <v>2021</v>
      </c>
      <c r="O23" t="str">
        <f t="shared" si="0"/>
        <v>High-end</v>
      </c>
      <c r="P23">
        <f t="shared" si="1"/>
        <v>1203</v>
      </c>
      <c r="Q23" t="str">
        <f t="shared" si="2"/>
        <v>&gt;3.0 GHz</v>
      </c>
      <c r="R23" t="str">
        <f t="shared" si="3"/>
        <v>Mid</v>
      </c>
    </row>
    <row r="24" spans="1:18" x14ac:dyDescent="0.3">
      <c r="A24">
        <v>21</v>
      </c>
      <c r="B24" t="s">
        <v>14</v>
      </c>
      <c r="C24" t="s">
        <v>87</v>
      </c>
      <c r="D24">
        <v>788</v>
      </c>
      <c r="E24">
        <v>2880</v>
      </c>
      <c r="F24">
        <v>594965</v>
      </c>
      <c r="G24">
        <v>8</v>
      </c>
      <c r="H24" t="s">
        <v>58</v>
      </c>
      <c r="I24">
        <v>2600</v>
      </c>
      <c r="J24" t="s">
        <v>73</v>
      </c>
      <c r="K24">
        <v>2020</v>
      </c>
      <c r="L24" s="1">
        <v>43831</v>
      </c>
      <c r="M24" t="str">
        <f>TRIM(Data_CPU[[#This Row],[cpuName]])</f>
        <v>Dimensity 1000 Plus</v>
      </c>
      <c r="N24">
        <f>YEAR(Data_CPU[[#This Row],[release_date]])</f>
        <v>2020</v>
      </c>
      <c r="O24" t="str">
        <f t="shared" si="0"/>
        <v>High-end</v>
      </c>
      <c r="P24">
        <f t="shared" si="1"/>
        <v>1108</v>
      </c>
      <c r="Q24" t="str">
        <f t="shared" si="2"/>
        <v>&gt;3.0 GHz</v>
      </c>
      <c r="R24" t="str">
        <f t="shared" si="3"/>
        <v>Mid</v>
      </c>
    </row>
    <row r="25" spans="1:18" x14ac:dyDescent="0.3">
      <c r="A25">
        <v>33</v>
      </c>
      <c r="B25" t="s">
        <v>14</v>
      </c>
      <c r="C25" t="s">
        <v>88</v>
      </c>
      <c r="D25">
        <v>675</v>
      </c>
      <c r="E25">
        <v>2865</v>
      </c>
      <c r="F25">
        <v>441325</v>
      </c>
      <c r="G25">
        <v>8</v>
      </c>
      <c r="H25" t="s">
        <v>58</v>
      </c>
      <c r="I25">
        <v>2600</v>
      </c>
      <c r="J25" t="s">
        <v>89</v>
      </c>
      <c r="K25">
        <v>2019</v>
      </c>
      <c r="L25" s="1">
        <v>43466</v>
      </c>
      <c r="M25" t="str">
        <f>TRIM(Data_CPU[[#This Row],[cpuName]])</f>
        <v>Dimensity 1000</v>
      </c>
      <c r="N25">
        <f>YEAR(Data_CPU[[#This Row],[release_date]])</f>
        <v>2019</v>
      </c>
      <c r="O25" t="str">
        <f t="shared" si="0"/>
        <v>High-end</v>
      </c>
      <c r="P25">
        <f t="shared" si="1"/>
        <v>1102</v>
      </c>
      <c r="Q25" t="str">
        <f t="shared" si="2"/>
        <v>&gt;3.0 GHz</v>
      </c>
      <c r="R25" t="str">
        <f t="shared" si="3"/>
        <v>Mid</v>
      </c>
    </row>
    <row r="26" spans="1:18" x14ac:dyDescent="0.3">
      <c r="A26">
        <v>9</v>
      </c>
      <c r="B26" t="s">
        <v>10</v>
      </c>
      <c r="C26" t="s">
        <v>90</v>
      </c>
      <c r="D26">
        <v>1038</v>
      </c>
      <c r="E26">
        <v>2845</v>
      </c>
      <c r="F26">
        <v>717527</v>
      </c>
      <c r="G26">
        <v>8</v>
      </c>
      <c r="H26" t="s">
        <v>76</v>
      </c>
      <c r="I26">
        <v>2800</v>
      </c>
      <c r="J26" t="s">
        <v>91</v>
      </c>
      <c r="K26">
        <v>2021</v>
      </c>
      <c r="L26" s="1">
        <v>44197</v>
      </c>
      <c r="M26" t="str">
        <f>TRIM(Data_CPU[[#This Row],[cpuName]])</f>
        <v>Google Tensor</v>
      </c>
      <c r="N26">
        <f>YEAR(Data_CPU[[#This Row],[release_date]])</f>
        <v>2021</v>
      </c>
      <c r="O26" t="str">
        <f t="shared" si="0"/>
        <v>High-end</v>
      </c>
      <c r="P26">
        <f t="shared" si="1"/>
        <v>1016</v>
      </c>
      <c r="Q26" t="str">
        <f t="shared" si="2"/>
        <v>&gt;3.0 GHz</v>
      </c>
      <c r="R26" t="str">
        <f t="shared" si="3"/>
        <v>High</v>
      </c>
    </row>
    <row r="27" spans="1:18" x14ac:dyDescent="0.3">
      <c r="A27">
        <v>29</v>
      </c>
      <c r="B27" t="s">
        <v>16</v>
      </c>
      <c r="C27" t="s">
        <v>92</v>
      </c>
      <c r="D27">
        <v>770</v>
      </c>
      <c r="E27">
        <v>2806</v>
      </c>
      <c r="F27">
        <v>526563</v>
      </c>
      <c r="G27">
        <v>8</v>
      </c>
      <c r="H27" t="s">
        <v>56</v>
      </c>
      <c r="I27">
        <v>2400</v>
      </c>
      <c r="J27" t="s">
        <v>80</v>
      </c>
      <c r="K27">
        <v>2021</v>
      </c>
      <c r="L27" s="1">
        <v>44197</v>
      </c>
      <c r="M27" t="str">
        <f>TRIM(Data_CPU[[#This Row],[cpuName]])</f>
        <v>Snapdragon 778G</v>
      </c>
      <c r="N27">
        <f>YEAR(Data_CPU[[#This Row],[release_date]])</f>
        <v>2021</v>
      </c>
      <c r="O27" t="str">
        <f t="shared" si="0"/>
        <v>High-end</v>
      </c>
      <c r="P27">
        <f t="shared" si="1"/>
        <v>1169</v>
      </c>
      <c r="Q27" t="str">
        <f t="shared" si="2"/>
        <v>&gt;3.0 GHz</v>
      </c>
      <c r="R27" t="str">
        <f t="shared" si="3"/>
        <v>Mid</v>
      </c>
    </row>
    <row r="28" spans="1:18" x14ac:dyDescent="0.3">
      <c r="A28">
        <v>24</v>
      </c>
      <c r="B28" t="s">
        <v>16</v>
      </c>
      <c r="C28" t="s">
        <v>93</v>
      </c>
      <c r="D28">
        <v>775</v>
      </c>
      <c r="E28">
        <v>2773</v>
      </c>
      <c r="F28">
        <v>538497</v>
      </c>
      <c r="G28">
        <v>8</v>
      </c>
      <c r="H28" t="s">
        <v>56</v>
      </c>
      <c r="I28">
        <v>2960</v>
      </c>
      <c r="J28" t="s">
        <v>94</v>
      </c>
      <c r="K28">
        <v>2019</v>
      </c>
      <c r="L28" s="1">
        <v>43466</v>
      </c>
      <c r="M28" t="str">
        <f>TRIM(Data_CPU[[#This Row],[cpuName]])</f>
        <v>Snapdragon 855 Plus</v>
      </c>
      <c r="N28">
        <f>YEAR(Data_CPU[[#This Row],[release_date]])</f>
        <v>2019</v>
      </c>
      <c r="O28" t="str">
        <f t="shared" si="0"/>
        <v>High-end</v>
      </c>
      <c r="P28">
        <f t="shared" si="1"/>
        <v>937</v>
      </c>
      <c r="Q28" t="str">
        <f t="shared" si="2"/>
        <v>&gt;3.0 GHz</v>
      </c>
      <c r="R28" t="str">
        <f t="shared" si="3"/>
        <v>Mid</v>
      </c>
    </row>
    <row r="29" spans="1:18" x14ac:dyDescent="0.3">
      <c r="A29">
        <v>20</v>
      </c>
      <c r="B29" t="s">
        <v>17</v>
      </c>
      <c r="C29" t="s">
        <v>95</v>
      </c>
      <c r="D29">
        <v>938</v>
      </c>
      <c r="E29">
        <v>2722</v>
      </c>
      <c r="F29">
        <v>599189</v>
      </c>
      <c r="G29">
        <v>8</v>
      </c>
      <c r="H29" t="s">
        <v>76</v>
      </c>
      <c r="I29">
        <v>2730</v>
      </c>
      <c r="J29" t="s">
        <v>96</v>
      </c>
      <c r="K29">
        <v>2020</v>
      </c>
      <c r="L29" s="1">
        <v>43831</v>
      </c>
      <c r="M29" t="str">
        <f>TRIM(Data_CPU[[#This Row],[cpuName]])</f>
        <v>Exynos 990</v>
      </c>
      <c r="N29">
        <f>YEAR(Data_CPU[[#This Row],[release_date]])</f>
        <v>2020</v>
      </c>
      <c r="O29" t="str">
        <f t="shared" si="0"/>
        <v>High-end</v>
      </c>
      <c r="P29">
        <f t="shared" si="1"/>
        <v>997</v>
      </c>
      <c r="Q29" t="str">
        <f t="shared" si="2"/>
        <v>&gt;3.0 GHz</v>
      </c>
      <c r="R29" t="str">
        <f t="shared" si="3"/>
        <v>Mid</v>
      </c>
    </row>
    <row r="30" spans="1:18" x14ac:dyDescent="0.3">
      <c r="A30">
        <v>28</v>
      </c>
      <c r="B30" t="s">
        <v>16</v>
      </c>
      <c r="C30" t="s">
        <v>97</v>
      </c>
      <c r="D30">
        <v>738</v>
      </c>
      <c r="E30">
        <v>2595</v>
      </c>
      <c r="F30">
        <v>511055</v>
      </c>
      <c r="G30">
        <v>8</v>
      </c>
      <c r="H30" t="s">
        <v>56</v>
      </c>
      <c r="I30">
        <v>2840</v>
      </c>
      <c r="J30" t="s">
        <v>94</v>
      </c>
      <c r="K30">
        <v>2019</v>
      </c>
      <c r="L30" s="1">
        <v>43466</v>
      </c>
      <c r="M30" t="str">
        <f>TRIM(Data_CPU[[#This Row],[cpuName]])</f>
        <v>Snapdragon 855</v>
      </c>
      <c r="N30">
        <f>YEAR(Data_CPU[[#This Row],[release_date]])</f>
        <v>2019</v>
      </c>
      <c r="O30" t="str">
        <f t="shared" si="0"/>
        <v>High-end</v>
      </c>
      <c r="P30">
        <f t="shared" si="1"/>
        <v>914</v>
      </c>
      <c r="Q30" t="str">
        <f t="shared" si="2"/>
        <v>&gt;3.0 GHz</v>
      </c>
      <c r="R30" t="str">
        <f t="shared" si="3"/>
        <v>Mid</v>
      </c>
    </row>
    <row r="31" spans="1:18" x14ac:dyDescent="0.3">
      <c r="A31">
        <v>32</v>
      </c>
      <c r="B31" t="s">
        <v>14</v>
      </c>
      <c r="C31" t="s">
        <v>98</v>
      </c>
      <c r="D31">
        <v>783</v>
      </c>
      <c r="E31">
        <v>2582</v>
      </c>
      <c r="F31">
        <v>487320</v>
      </c>
      <c r="G31">
        <v>8</v>
      </c>
      <c r="H31" t="s">
        <v>99</v>
      </c>
      <c r="I31">
        <v>2500</v>
      </c>
      <c r="J31" t="s">
        <v>100</v>
      </c>
      <c r="K31">
        <v>2021</v>
      </c>
      <c r="L31" s="1">
        <v>44197</v>
      </c>
      <c r="M31" t="str">
        <f>TRIM(Data_CPU[[#This Row],[cpuName]])</f>
        <v>Dimensity 920</v>
      </c>
      <c r="N31">
        <f>YEAR(Data_CPU[[#This Row],[release_date]])</f>
        <v>2021</v>
      </c>
      <c r="O31" t="str">
        <f t="shared" si="0"/>
        <v>High-end</v>
      </c>
      <c r="P31">
        <f t="shared" si="1"/>
        <v>1033</v>
      </c>
      <c r="Q31" t="str">
        <f t="shared" si="2"/>
        <v>&gt;3.0 GHz</v>
      </c>
      <c r="R31" t="str">
        <f t="shared" si="3"/>
        <v>Mid</v>
      </c>
    </row>
    <row r="32" spans="1:18" x14ac:dyDescent="0.3">
      <c r="A32">
        <v>23</v>
      </c>
      <c r="B32" t="s">
        <v>16</v>
      </c>
      <c r="C32" t="s">
        <v>101</v>
      </c>
      <c r="D32">
        <v>732</v>
      </c>
      <c r="E32">
        <v>2564</v>
      </c>
      <c r="F32">
        <v>564604</v>
      </c>
      <c r="G32">
        <v>8</v>
      </c>
      <c r="H32" t="s">
        <v>56</v>
      </c>
      <c r="I32">
        <v>2960</v>
      </c>
      <c r="J32" t="s">
        <v>94</v>
      </c>
      <c r="K32">
        <v>2021</v>
      </c>
      <c r="L32" s="1">
        <v>44197</v>
      </c>
      <c r="M32" t="str">
        <f>TRIM(Data_CPU[[#This Row],[cpuName]])</f>
        <v>Snapdragon 860</v>
      </c>
      <c r="N32">
        <f>YEAR(Data_CPU[[#This Row],[release_date]])</f>
        <v>2021</v>
      </c>
      <c r="O32" t="str">
        <f t="shared" si="0"/>
        <v>High-end</v>
      </c>
      <c r="P32">
        <f t="shared" si="1"/>
        <v>866</v>
      </c>
      <c r="Q32" t="str">
        <f t="shared" si="2"/>
        <v>&gt;3.0 GHz</v>
      </c>
      <c r="R32" t="str">
        <f t="shared" si="3"/>
        <v>Mid</v>
      </c>
    </row>
    <row r="33" spans="1:18" x14ac:dyDescent="0.3">
      <c r="A33">
        <v>36</v>
      </c>
      <c r="B33" t="s">
        <v>12</v>
      </c>
      <c r="C33" t="s">
        <v>102</v>
      </c>
      <c r="D33">
        <v>685</v>
      </c>
      <c r="E33">
        <v>2559</v>
      </c>
      <c r="F33">
        <v>464593</v>
      </c>
      <c r="G33">
        <v>8</v>
      </c>
      <c r="H33" t="s">
        <v>56</v>
      </c>
      <c r="I33">
        <v>2580</v>
      </c>
      <c r="J33" t="s">
        <v>103</v>
      </c>
      <c r="K33">
        <v>2020</v>
      </c>
      <c r="L33" s="1">
        <v>43831</v>
      </c>
      <c r="M33" t="str">
        <f>TRIM(Data_CPU[[#This Row],[cpuName]])</f>
        <v>Kirin 985</v>
      </c>
      <c r="N33">
        <f>YEAR(Data_CPU[[#This Row],[release_date]])</f>
        <v>2020</v>
      </c>
      <c r="O33" t="str">
        <f t="shared" si="0"/>
        <v>High-end</v>
      </c>
      <c r="P33">
        <f t="shared" si="1"/>
        <v>992</v>
      </c>
      <c r="Q33" t="str">
        <f t="shared" si="2"/>
        <v>&gt;3.0 GHz</v>
      </c>
      <c r="R33" t="str">
        <f t="shared" si="3"/>
        <v>Mid</v>
      </c>
    </row>
    <row r="34" spans="1:18" x14ac:dyDescent="0.3">
      <c r="A34">
        <v>35</v>
      </c>
      <c r="B34" t="s">
        <v>14</v>
      </c>
      <c r="C34" t="s">
        <v>104</v>
      </c>
      <c r="D34">
        <v>648</v>
      </c>
      <c r="E34">
        <v>2496</v>
      </c>
      <c r="F34">
        <v>428299</v>
      </c>
      <c r="G34">
        <v>8</v>
      </c>
      <c r="H34" t="s">
        <v>58</v>
      </c>
      <c r="I34">
        <v>2200</v>
      </c>
      <c r="J34" t="s">
        <v>73</v>
      </c>
      <c r="K34">
        <v>2020</v>
      </c>
      <c r="L34" s="1">
        <v>43831</v>
      </c>
      <c r="M34" t="str">
        <f>TRIM(Data_CPU[[#This Row],[cpuName]])</f>
        <v>Dimensity 1000L</v>
      </c>
      <c r="N34">
        <f>YEAR(Data_CPU[[#This Row],[release_date]])</f>
        <v>2020</v>
      </c>
      <c r="O34" t="str">
        <f t="shared" ref="O34:O65" si="4">IF(E34&gt;=3000,"Flagship",IF(E34&gt;=2000,"High-end",IF(E34&gt;=1000,"Mid-range","Entry")))</f>
        <v>High-end</v>
      </c>
      <c r="P34">
        <f t="shared" ref="P34:P65" si="5">ROUND(E34/(I34/1000),0)</f>
        <v>1135</v>
      </c>
      <c r="Q34" t="str">
        <f t="shared" ref="Q34:Q65" si="6">IF(H34&gt;3000,"&gt;3.0 GHz",IF(H34&gt;2500,"2.5-3.0 GHz",IF(H34&gt;2000,"2.0-2.5 GHz","≤2.0 GHz")))</f>
        <v>&gt;3.0 GHz</v>
      </c>
      <c r="R34" t="str">
        <f t="shared" ref="R34:R65" si="7">IF(F34&gt;=800000,"Ultra",IF(F34&gt;=600000,"High",IF(F34&gt;=300000,"Mid","Low")))</f>
        <v>Mid</v>
      </c>
    </row>
    <row r="35" spans="1:18" x14ac:dyDescent="0.3">
      <c r="A35">
        <v>19</v>
      </c>
      <c r="B35" t="s">
        <v>14</v>
      </c>
      <c r="C35" t="s">
        <v>105</v>
      </c>
      <c r="D35">
        <v>661</v>
      </c>
      <c r="E35">
        <v>2486</v>
      </c>
      <c r="F35">
        <v>664145</v>
      </c>
      <c r="G35">
        <v>8</v>
      </c>
      <c r="H35" t="s">
        <v>58</v>
      </c>
      <c r="I35">
        <v>2600</v>
      </c>
      <c r="J35" t="s">
        <v>73</v>
      </c>
      <c r="K35">
        <v>2021</v>
      </c>
      <c r="L35" s="1">
        <v>44197</v>
      </c>
      <c r="M35" t="str">
        <f>TRIM(Data_CPU[[#This Row],[cpuName]])</f>
        <v>Dimensity 1100</v>
      </c>
      <c r="N35">
        <f>YEAR(Data_CPU[[#This Row],[release_date]])</f>
        <v>2021</v>
      </c>
      <c r="O35" t="str">
        <f t="shared" si="4"/>
        <v>High-end</v>
      </c>
      <c r="P35">
        <f t="shared" si="5"/>
        <v>956</v>
      </c>
      <c r="Q35" t="str">
        <f t="shared" si="6"/>
        <v>&gt;3.0 GHz</v>
      </c>
      <c r="R35" t="str">
        <f t="shared" si="7"/>
        <v>High</v>
      </c>
    </row>
    <row r="36" spans="1:18" x14ac:dyDescent="0.3">
      <c r="A36">
        <v>37</v>
      </c>
      <c r="B36" t="s">
        <v>12</v>
      </c>
      <c r="C36" t="s">
        <v>106</v>
      </c>
      <c r="D36">
        <v>691</v>
      </c>
      <c r="E36">
        <v>2459</v>
      </c>
      <c r="F36">
        <v>482411</v>
      </c>
      <c r="G36">
        <v>8</v>
      </c>
      <c r="H36" t="s">
        <v>76</v>
      </c>
      <c r="I36">
        <v>2600</v>
      </c>
      <c r="J36" t="s">
        <v>107</v>
      </c>
      <c r="K36">
        <v>2018</v>
      </c>
      <c r="L36" s="1">
        <v>43101</v>
      </c>
      <c r="M36" t="str">
        <f>TRIM(Data_CPU[[#This Row],[cpuName]])</f>
        <v>Kirin 980</v>
      </c>
      <c r="N36">
        <f>YEAR(Data_CPU[[#This Row],[release_date]])</f>
        <v>2018</v>
      </c>
      <c r="O36" t="str">
        <f t="shared" si="4"/>
        <v>High-end</v>
      </c>
      <c r="P36">
        <f t="shared" si="5"/>
        <v>946</v>
      </c>
      <c r="Q36" t="str">
        <f t="shared" si="6"/>
        <v>&gt;3.0 GHz</v>
      </c>
      <c r="R36" t="str">
        <f t="shared" si="7"/>
        <v>Mid</v>
      </c>
    </row>
    <row r="37" spans="1:18" x14ac:dyDescent="0.3">
      <c r="A37">
        <v>39</v>
      </c>
      <c r="B37" t="s">
        <v>12</v>
      </c>
      <c r="C37" t="s">
        <v>108</v>
      </c>
      <c r="D37">
        <v>639</v>
      </c>
      <c r="E37">
        <v>2448</v>
      </c>
      <c r="F37">
        <v>445090</v>
      </c>
      <c r="G37">
        <v>8</v>
      </c>
      <c r="H37" t="s">
        <v>56</v>
      </c>
      <c r="I37">
        <v>2360</v>
      </c>
      <c r="J37" t="s">
        <v>109</v>
      </c>
      <c r="K37">
        <v>2020</v>
      </c>
      <c r="L37" s="1">
        <v>43831</v>
      </c>
      <c r="M37" t="str">
        <f>TRIM(Data_CPU[[#This Row],[cpuName]])</f>
        <v>Kirin 820</v>
      </c>
      <c r="N37">
        <f>YEAR(Data_CPU[[#This Row],[release_date]])</f>
        <v>2020</v>
      </c>
      <c r="O37" t="str">
        <f t="shared" si="4"/>
        <v>High-end</v>
      </c>
      <c r="P37">
        <f t="shared" si="5"/>
        <v>1037</v>
      </c>
      <c r="Q37" t="str">
        <f t="shared" si="6"/>
        <v>&gt;3.0 GHz</v>
      </c>
      <c r="R37" t="str">
        <f t="shared" si="7"/>
        <v>Mid</v>
      </c>
    </row>
    <row r="38" spans="1:18" x14ac:dyDescent="0.3">
      <c r="A38">
        <v>31</v>
      </c>
      <c r="B38" t="s">
        <v>17</v>
      </c>
      <c r="C38" t="s">
        <v>110</v>
      </c>
      <c r="D38">
        <v>766</v>
      </c>
      <c r="E38">
        <v>2383</v>
      </c>
      <c r="F38">
        <v>503509</v>
      </c>
      <c r="G38">
        <v>8</v>
      </c>
      <c r="H38" t="s">
        <v>76</v>
      </c>
      <c r="I38">
        <v>2730</v>
      </c>
      <c r="J38" t="s">
        <v>111</v>
      </c>
      <c r="K38">
        <v>2019</v>
      </c>
      <c r="L38" s="1">
        <v>43466</v>
      </c>
      <c r="M38" t="str">
        <f>TRIM(Data_CPU[[#This Row],[cpuName]])</f>
        <v>Exynos 9825</v>
      </c>
      <c r="N38">
        <f>YEAR(Data_CPU[[#This Row],[release_date]])</f>
        <v>2019</v>
      </c>
      <c r="O38" t="str">
        <f t="shared" si="4"/>
        <v>High-end</v>
      </c>
      <c r="P38">
        <f t="shared" si="5"/>
        <v>873</v>
      </c>
      <c r="Q38" t="str">
        <f t="shared" si="6"/>
        <v>&gt;3.0 GHz</v>
      </c>
      <c r="R38" t="str">
        <f t="shared" si="7"/>
        <v>Mid</v>
      </c>
    </row>
    <row r="39" spans="1:18" x14ac:dyDescent="0.3">
      <c r="A39">
        <v>40</v>
      </c>
      <c r="B39" t="s">
        <v>14</v>
      </c>
      <c r="C39" t="s">
        <v>112</v>
      </c>
      <c r="D39">
        <v>517</v>
      </c>
      <c r="E39">
        <v>2374</v>
      </c>
      <c r="F39">
        <v>449045</v>
      </c>
      <c r="G39">
        <v>8</v>
      </c>
      <c r="H39" t="s">
        <v>58</v>
      </c>
      <c r="I39">
        <v>2600</v>
      </c>
      <c r="J39" t="s">
        <v>113</v>
      </c>
      <c r="K39">
        <v>2020</v>
      </c>
      <c r="L39" s="1">
        <v>43831</v>
      </c>
      <c r="M39" t="str">
        <f>TRIM(Data_CPU[[#This Row],[cpuName]])</f>
        <v>Dimensity 820</v>
      </c>
      <c r="N39">
        <f>YEAR(Data_CPU[[#This Row],[release_date]])</f>
        <v>2020</v>
      </c>
      <c r="O39" t="str">
        <f t="shared" si="4"/>
        <v>High-end</v>
      </c>
      <c r="P39">
        <f t="shared" si="5"/>
        <v>913</v>
      </c>
      <c r="Q39" t="str">
        <f t="shared" si="6"/>
        <v>&gt;3.0 GHz</v>
      </c>
      <c r="R39" t="str">
        <f t="shared" si="7"/>
        <v>Mid</v>
      </c>
    </row>
    <row r="40" spans="1:18" x14ac:dyDescent="0.3">
      <c r="A40">
        <v>45</v>
      </c>
      <c r="B40" t="s">
        <v>7</v>
      </c>
      <c r="C40" t="s">
        <v>114</v>
      </c>
      <c r="D40">
        <v>916</v>
      </c>
      <c r="E40">
        <v>2324</v>
      </c>
      <c r="F40">
        <v>381419</v>
      </c>
      <c r="G40">
        <v>6</v>
      </c>
      <c r="H40" t="s">
        <v>54</v>
      </c>
      <c r="I40">
        <v>2390</v>
      </c>
      <c r="J40" t="s">
        <v>55</v>
      </c>
      <c r="K40">
        <v>2017</v>
      </c>
      <c r="L40" s="1">
        <v>42736</v>
      </c>
      <c r="M40" t="str">
        <f>TRIM(Data_CPU[[#This Row],[cpuName]])</f>
        <v>A11 Bionic</v>
      </c>
      <c r="N40">
        <f>YEAR(Data_CPU[[#This Row],[release_date]])</f>
        <v>2017</v>
      </c>
      <c r="O40" t="str">
        <f t="shared" si="4"/>
        <v>High-end</v>
      </c>
      <c r="P40">
        <f t="shared" si="5"/>
        <v>972</v>
      </c>
      <c r="Q40" t="str">
        <f t="shared" si="6"/>
        <v>&gt;3.0 GHz</v>
      </c>
      <c r="R40" t="str">
        <f t="shared" si="7"/>
        <v>Mid</v>
      </c>
    </row>
    <row r="41" spans="1:18" x14ac:dyDescent="0.3">
      <c r="A41">
        <v>34</v>
      </c>
      <c r="B41" t="s">
        <v>17</v>
      </c>
      <c r="C41" t="s">
        <v>115</v>
      </c>
      <c r="D41">
        <v>828</v>
      </c>
      <c r="E41">
        <v>2289</v>
      </c>
      <c r="F41">
        <v>501815</v>
      </c>
      <c r="G41">
        <v>8</v>
      </c>
      <c r="H41" t="s">
        <v>76</v>
      </c>
      <c r="I41">
        <v>2700</v>
      </c>
      <c r="J41" t="s">
        <v>111</v>
      </c>
      <c r="K41">
        <v>2019</v>
      </c>
      <c r="L41" s="1">
        <v>43466</v>
      </c>
      <c r="M41" t="str">
        <f>TRIM(Data_CPU[[#This Row],[cpuName]])</f>
        <v>Exynos 9820</v>
      </c>
      <c r="N41">
        <f>YEAR(Data_CPU[[#This Row],[release_date]])</f>
        <v>2019</v>
      </c>
      <c r="O41" t="str">
        <f t="shared" si="4"/>
        <v>High-end</v>
      </c>
      <c r="P41">
        <f t="shared" si="5"/>
        <v>848</v>
      </c>
      <c r="Q41" t="str">
        <f t="shared" si="6"/>
        <v>&gt;3.0 GHz</v>
      </c>
      <c r="R41" t="str">
        <f t="shared" si="7"/>
        <v>Mid</v>
      </c>
    </row>
    <row r="42" spans="1:18" x14ac:dyDescent="0.3">
      <c r="A42">
        <v>43</v>
      </c>
      <c r="B42" t="s">
        <v>16</v>
      </c>
      <c r="C42" t="s">
        <v>116</v>
      </c>
      <c r="D42">
        <v>506</v>
      </c>
      <c r="E42">
        <v>2180</v>
      </c>
      <c r="F42">
        <v>406115</v>
      </c>
      <c r="G42">
        <v>8</v>
      </c>
      <c r="H42" t="s">
        <v>58</v>
      </c>
      <c r="I42">
        <v>2800</v>
      </c>
      <c r="J42" t="s">
        <v>117</v>
      </c>
      <c r="K42">
        <v>2018</v>
      </c>
      <c r="L42" s="1">
        <v>43101</v>
      </c>
      <c r="M42" t="str">
        <f>TRIM(Data_CPU[[#This Row],[cpuName]])</f>
        <v>Snapdragon 845</v>
      </c>
      <c r="N42">
        <f>YEAR(Data_CPU[[#This Row],[release_date]])</f>
        <v>2018</v>
      </c>
      <c r="O42" t="str">
        <f t="shared" si="4"/>
        <v>High-end</v>
      </c>
      <c r="P42">
        <f t="shared" si="5"/>
        <v>779</v>
      </c>
      <c r="Q42" t="str">
        <f t="shared" si="6"/>
        <v>&gt;3.0 GHz</v>
      </c>
      <c r="R42" t="str">
        <f t="shared" si="7"/>
        <v>Mid</v>
      </c>
    </row>
    <row r="43" spans="1:18" x14ac:dyDescent="0.3">
      <c r="A43">
        <v>41</v>
      </c>
      <c r="B43" t="s">
        <v>14</v>
      </c>
      <c r="C43" t="s">
        <v>118</v>
      </c>
      <c r="D43">
        <v>701</v>
      </c>
      <c r="E43">
        <v>2137</v>
      </c>
      <c r="F43">
        <v>421553</v>
      </c>
      <c r="G43">
        <v>8</v>
      </c>
      <c r="H43" t="s">
        <v>99</v>
      </c>
      <c r="I43">
        <v>2400</v>
      </c>
      <c r="J43" t="s">
        <v>100</v>
      </c>
      <c r="K43">
        <v>2021</v>
      </c>
      <c r="L43" s="1">
        <v>44197</v>
      </c>
      <c r="M43" t="str">
        <f>TRIM(Data_CPU[[#This Row],[cpuName]])</f>
        <v>Dimensity 900</v>
      </c>
      <c r="N43">
        <f>YEAR(Data_CPU[[#This Row],[release_date]])</f>
        <v>2021</v>
      </c>
      <c r="O43" t="str">
        <f t="shared" si="4"/>
        <v>High-end</v>
      </c>
      <c r="P43">
        <f t="shared" si="5"/>
        <v>890</v>
      </c>
      <c r="Q43" t="str">
        <f t="shared" si="6"/>
        <v>&gt;3.0 GHz</v>
      </c>
      <c r="R43" t="str">
        <f t="shared" si="7"/>
        <v>Mid</v>
      </c>
    </row>
    <row r="44" spans="1:18" x14ac:dyDescent="0.3">
      <c r="A44">
        <v>46</v>
      </c>
      <c r="B44" t="s">
        <v>17</v>
      </c>
      <c r="C44" t="s">
        <v>119</v>
      </c>
      <c r="D44">
        <v>676</v>
      </c>
      <c r="E44">
        <v>2004</v>
      </c>
      <c r="F44">
        <v>412243</v>
      </c>
      <c r="G44">
        <v>8</v>
      </c>
      <c r="H44" t="s">
        <v>58</v>
      </c>
      <c r="I44">
        <v>2900</v>
      </c>
      <c r="J44" t="s">
        <v>120</v>
      </c>
      <c r="K44">
        <v>2018</v>
      </c>
      <c r="L44" s="1">
        <v>43101</v>
      </c>
      <c r="M44" t="str">
        <f>TRIM(Data_CPU[[#This Row],[cpuName]])</f>
        <v>Exynos 9810</v>
      </c>
      <c r="N44">
        <f>YEAR(Data_CPU[[#This Row],[release_date]])</f>
        <v>2018</v>
      </c>
      <c r="O44" t="str">
        <f t="shared" si="4"/>
        <v>High-end</v>
      </c>
      <c r="P44">
        <f t="shared" si="5"/>
        <v>691</v>
      </c>
      <c r="Q44" t="str">
        <f t="shared" si="6"/>
        <v>&gt;3.0 GHz</v>
      </c>
      <c r="R44" t="str">
        <f t="shared" si="7"/>
        <v>Mid</v>
      </c>
    </row>
    <row r="45" spans="1:18" x14ac:dyDescent="0.3">
      <c r="A45">
        <v>44</v>
      </c>
      <c r="B45" t="s">
        <v>16</v>
      </c>
      <c r="C45" t="s">
        <v>121</v>
      </c>
      <c r="D45">
        <v>691</v>
      </c>
      <c r="E45">
        <v>1997</v>
      </c>
      <c r="F45">
        <v>401626</v>
      </c>
      <c r="G45">
        <v>8</v>
      </c>
      <c r="H45" t="s">
        <v>99</v>
      </c>
      <c r="I45">
        <v>2200</v>
      </c>
      <c r="J45" t="s">
        <v>122</v>
      </c>
      <c r="K45">
        <v>2021</v>
      </c>
      <c r="L45" s="1">
        <v>44197</v>
      </c>
      <c r="M45" t="str">
        <f>TRIM(Data_CPU[[#This Row],[cpuName]])</f>
        <v>Snapdragon 695</v>
      </c>
      <c r="N45">
        <f>YEAR(Data_CPU[[#This Row],[release_date]])</f>
        <v>2021</v>
      </c>
      <c r="O45" t="str">
        <f t="shared" si="4"/>
        <v>Mid-range</v>
      </c>
      <c r="P45">
        <f t="shared" si="5"/>
        <v>908</v>
      </c>
      <c r="Q45" t="str">
        <f t="shared" si="6"/>
        <v>&gt;3.0 GHz</v>
      </c>
      <c r="R45" t="str">
        <f t="shared" si="7"/>
        <v>Mid</v>
      </c>
    </row>
    <row r="46" spans="1:18" x14ac:dyDescent="0.3">
      <c r="A46">
        <v>42</v>
      </c>
      <c r="B46" t="s">
        <v>16</v>
      </c>
      <c r="C46" t="s">
        <v>123</v>
      </c>
      <c r="D46">
        <v>701</v>
      </c>
      <c r="E46">
        <v>1982</v>
      </c>
      <c r="F46">
        <v>441930</v>
      </c>
      <c r="G46">
        <v>8</v>
      </c>
      <c r="H46" t="s">
        <v>124</v>
      </c>
      <c r="I46">
        <v>2800</v>
      </c>
      <c r="J46" t="s">
        <v>125</v>
      </c>
      <c r="K46">
        <v>2020</v>
      </c>
      <c r="L46" s="1">
        <v>43831</v>
      </c>
      <c r="M46" t="str">
        <f>TRIM(Data_CPU[[#This Row],[cpuName]])</f>
        <v>Snapdragon 768G</v>
      </c>
      <c r="N46">
        <f>YEAR(Data_CPU[[#This Row],[release_date]])</f>
        <v>2020</v>
      </c>
      <c r="O46" t="str">
        <f t="shared" si="4"/>
        <v>Mid-range</v>
      </c>
      <c r="P46">
        <f t="shared" si="5"/>
        <v>708</v>
      </c>
      <c r="Q46" t="str">
        <f t="shared" si="6"/>
        <v>&gt;3.0 GHz</v>
      </c>
      <c r="R46" t="str">
        <f t="shared" si="7"/>
        <v>Mid</v>
      </c>
    </row>
    <row r="47" spans="1:18" x14ac:dyDescent="0.3">
      <c r="A47">
        <v>52</v>
      </c>
      <c r="B47" t="s">
        <v>16</v>
      </c>
      <c r="C47" t="s">
        <v>126</v>
      </c>
      <c r="D47">
        <v>656</v>
      </c>
      <c r="E47">
        <v>1974</v>
      </c>
      <c r="F47">
        <v>387846</v>
      </c>
      <c r="G47">
        <v>8</v>
      </c>
      <c r="H47" t="s">
        <v>99</v>
      </c>
      <c r="I47">
        <v>2200</v>
      </c>
      <c r="J47" t="s">
        <v>122</v>
      </c>
      <c r="K47">
        <v>2020</v>
      </c>
      <c r="L47" s="1">
        <v>43831</v>
      </c>
      <c r="M47" t="str">
        <f>TRIM(Data_CPU[[#This Row],[cpuName]])</f>
        <v>Snapdragon 750G</v>
      </c>
      <c r="N47">
        <f>YEAR(Data_CPU[[#This Row],[release_date]])</f>
        <v>2020</v>
      </c>
      <c r="O47" t="str">
        <f t="shared" si="4"/>
        <v>Mid-range</v>
      </c>
      <c r="P47">
        <f t="shared" si="5"/>
        <v>897</v>
      </c>
      <c r="Q47" t="str">
        <f t="shared" si="6"/>
        <v>&gt;3.0 GHz</v>
      </c>
      <c r="R47" t="str">
        <f t="shared" si="7"/>
        <v>Mid</v>
      </c>
    </row>
    <row r="48" spans="1:18" x14ac:dyDescent="0.3">
      <c r="A48">
        <v>53</v>
      </c>
      <c r="B48" t="s">
        <v>12</v>
      </c>
      <c r="C48" t="s">
        <v>127</v>
      </c>
      <c r="D48">
        <v>595</v>
      </c>
      <c r="E48">
        <v>1900</v>
      </c>
      <c r="F48">
        <v>368674</v>
      </c>
      <c r="G48">
        <v>8</v>
      </c>
      <c r="H48" t="s">
        <v>99</v>
      </c>
      <c r="I48">
        <v>2270</v>
      </c>
      <c r="J48" t="s">
        <v>128</v>
      </c>
      <c r="K48">
        <v>2019</v>
      </c>
      <c r="L48" s="1">
        <v>43466</v>
      </c>
      <c r="M48" t="str">
        <f>TRIM(Data_CPU[[#This Row],[cpuName]])</f>
        <v>Kirin 810</v>
      </c>
      <c r="N48">
        <f>YEAR(Data_CPU[[#This Row],[release_date]])</f>
        <v>2019</v>
      </c>
      <c r="O48" t="str">
        <f t="shared" si="4"/>
        <v>Mid-range</v>
      </c>
      <c r="P48">
        <f t="shared" si="5"/>
        <v>837</v>
      </c>
      <c r="Q48" t="str">
        <f t="shared" si="6"/>
        <v>&gt;3.0 GHz</v>
      </c>
      <c r="R48" t="str">
        <f t="shared" si="7"/>
        <v>Mid</v>
      </c>
    </row>
    <row r="49" spans="1:18" x14ac:dyDescent="0.3">
      <c r="A49">
        <v>50</v>
      </c>
      <c r="B49" t="s">
        <v>16</v>
      </c>
      <c r="C49" t="s">
        <v>129</v>
      </c>
      <c r="D49">
        <v>590</v>
      </c>
      <c r="E49">
        <v>1895</v>
      </c>
      <c r="F49">
        <v>337444</v>
      </c>
      <c r="G49">
        <v>8</v>
      </c>
      <c r="H49" t="s">
        <v>124</v>
      </c>
      <c r="I49">
        <v>2300</v>
      </c>
      <c r="J49" t="s">
        <v>125</v>
      </c>
      <c r="K49">
        <v>2020</v>
      </c>
      <c r="L49" s="1">
        <v>43831</v>
      </c>
      <c r="M49" t="str">
        <f>TRIM(Data_CPU[[#This Row],[cpuName]])</f>
        <v>Snapdragon 765</v>
      </c>
      <c r="N49">
        <f>YEAR(Data_CPU[[#This Row],[release_date]])</f>
        <v>2020</v>
      </c>
      <c r="O49" t="str">
        <f t="shared" si="4"/>
        <v>Mid-range</v>
      </c>
      <c r="P49">
        <f t="shared" si="5"/>
        <v>824</v>
      </c>
      <c r="Q49" t="str">
        <f t="shared" si="6"/>
        <v>&gt;3.0 GHz</v>
      </c>
      <c r="R49" t="str">
        <f t="shared" si="7"/>
        <v>Mid</v>
      </c>
    </row>
    <row r="50" spans="1:18" x14ac:dyDescent="0.3">
      <c r="A50">
        <v>51</v>
      </c>
      <c r="B50" t="s">
        <v>14</v>
      </c>
      <c r="C50" t="s">
        <v>130</v>
      </c>
      <c r="D50">
        <v>622</v>
      </c>
      <c r="E50">
        <v>1894</v>
      </c>
      <c r="F50">
        <v>372728</v>
      </c>
      <c r="G50">
        <v>8</v>
      </c>
      <c r="H50" t="s">
        <v>99</v>
      </c>
      <c r="I50">
        <v>2400</v>
      </c>
      <c r="J50" t="s">
        <v>131</v>
      </c>
      <c r="K50">
        <v>2021</v>
      </c>
      <c r="L50" s="1">
        <v>44197</v>
      </c>
      <c r="M50" t="str">
        <f>TRIM(Data_CPU[[#This Row],[cpuName]])</f>
        <v>Dimensity 810</v>
      </c>
      <c r="N50">
        <f>YEAR(Data_CPU[[#This Row],[release_date]])</f>
        <v>2021</v>
      </c>
      <c r="O50" t="str">
        <f t="shared" si="4"/>
        <v>Mid-range</v>
      </c>
      <c r="P50">
        <f t="shared" si="5"/>
        <v>789</v>
      </c>
      <c r="Q50" t="str">
        <f t="shared" si="6"/>
        <v>&gt;3.0 GHz</v>
      </c>
      <c r="R50" t="str">
        <f t="shared" si="7"/>
        <v>Mid</v>
      </c>
    </row>
    <row r="51" spans="1:18" x14ac:dyDescent="0.3">
      <c r="A51">
        <v>54</v>
      </c>
      <c r="B51" t="s">
        <v>14</v>
      </c>
      <c r="C51" t="s">
        <v>132</v>
      </c>
      <c r="D51">
        <v>507</v>
      </c>
      <c r="E51">
        <v>1891</v>
      </c>
      <c r="F51">
        <v>323904</v>
      </c>
      <c r="G51">
        <v>8</v>
      </c>
      <c r="H51" t="s">
        <v>58</v>
      </c>
      <c r="I51">
        <v>2000</v>
      </c>
      <c r="J51" t="s">
        <v>133</v>
      </c>
      <c r="K51">
        <v>2020</v>
      </c>
      <c r="L51" s="1">
        <v>43831</v>
      </c>
      <c r="M51" t="str">
        <f>TRIM(Data_CPU[[#This Row],[cpuName]])</f>
        <v>Dimensity 800</v>
      </c>
      <c r="N51">
        <f>YEAR(Data_CPU[[#This Row],[release_date]])</f>
        <v>2020</v>
      </c>
      <c r="O51" t="str">
        <f t="shared" si="4"/>
        <v>Mid-range</v>
      </c>
      <c r="P51">
        <f t="shared" si="5"/>
        <v>946</v>
      </c>
      <c r="Q51" t="str">
        <f t="shared" si="6"/>
        <v>&gt;3.0 GHz</v>
      </c>
      <c r="R51" t="str">
        <f t="shared" si="7"/>
        <v>Mid</v>
      </c>
    </row>
    <row r="52" spans="1:18" x14ac:dyDescent="0.3">
      <c r="A52">
        <v>38</v>
      </c>
      <c r="B52" t="s">
        <v>17</v>
      </c>
      <c r="C52" t="s">
        <v>134</v>
      </c>
      <c r="D52">
        <v>720</v>
      </c>
      <c r="E52">
        <v>1873</v>
      </c>
      <c r="F52">
        <v>414723</v>
      </c>
      <c r="G52">
        <v>8</v>
      </c>
      <c r="H52" t="s">
        <v>99</v>
      </c>
      <c r="I52">
        <v>2400</v>
      </c>
      <c r="J52" t="s">
        <v>135</v>
      </c>
      <c r="K52">
        <v>2022</v>
      </c>
      <c r="L52" s="1">
        <v>44562</v>
      </c>
      <c r="M52" t="str">
        <f>TRIM(Data_CPU[[#This Row],[cpuName]])</f>
        <v>Exynos 1280</v>
      </c>
      <c r="N52">
        <f>YEAR(Data_CPU[[#This Row],[release_date]])</f>
        <v>2022</v>
      </c>
      <c r="O52" t="str">
        <f t="shared" si="4"/>
        <v>Mid-range</v>
      </c>
      <c r="P52">
        <f t="shared" si="5"/>
        <v>780</v>
      </c>
      <c r="Q52" t="str">
        <f t="shared" si="6"/>
        <v>&gt;3.0 GHz</v>
      </c>
      <c r="R52" t="str">
        <f t="shared" si="7"/>
        <v>Mid</v>
      </c>
    </row>
    <row r="53" spans="1:18" x14ac:dyDescent="0.3">
      <c r="A53">
        <v>64</v>
      </c>
      <c r="B53" t="s">
        <v>14</v>
      </c>
      <c r="C53" t="s">
        <v>136</v>
      </c>
      <c r="D53">
        <v>537</v>
      </c>
      <c r="E53">
        <v>1869</v>
      </c>
      <c r="F53">
        <v>330903</v>
      </c>
      <c r="G53">
        <v>8</v>
      </c>
      <c r="H53" t="s">
        <v>99</v>
      </c>
      <c r="I53">
        <v>2050</v>
      </c>
      <c r="J53" t="s">
        <v>137</v>
      </c>
      <c r="K53">
        <v>2021</v>
      </c>
      <c r="L53" s="1">
        <v>44197</v>
      </c>
      <c r="M53" t="str">
        <f>TRIM(Data_CPU[[#This Row],[cpuName]])</f>
        <v>Helio G96</v>
      </c>
      <c r="N53">
        <f>YEAR(Data_CPU[[#This Row],[release_date]])</f>
        <v>2021</v>
      </c>
      <c r="O53" t="str">
        <f t="shared" si="4"/>
        <v>Mid-range</v>
      </c>
      <c r="P53">
        <f t="shared" si="5"/>
        <v>912</v>
      </c>
      <c r="Q53" t="str">
        <f t="shared" si="6"/>
        <v>&gt;3.0 GHz</v>
      </c>
      <c r="R53" t="str">
        <f t="shared" si="7"/>
        <v>Mid</v>
      </c>
    </row>
    <row r="54" spans="1:18" x14ac:dyDescent="0.3">
      <c r="A54">
        <v>47</v>
      </c>
      <c r="B54" t="s">
        <v>17</v>
      </c>
      <c r="C54" t="s">
        <v>138</v>
      </c>
      <c r="D54">
        <v>695</v>
      </c>
      <c r="E54">
        <v>1847</v>
      </c>
      <c r="F54">
        <v>383525</v>
      </c>
      <c r="G54">
        <v>8</v>
      </c>
      <c r="H54" t="s">
        <v>99</v>
      </c>
      <c r="I54">
        <v>2200</v>
      </c>
      <c r="J54" t="s">
        <v>139</v>
      </c>
      <c r="K54">
        <v>2019</v>
      </c>
      <c r="L54" s="1">
        <v>43466</v>
      </c>
      <c r="M54" t="str">
        <f>TRIM(Data_CPU[[#This Row],[cpuName]])</f>
        <v>Exynos 980</v>
      </c>
      <c r="N54">
        <f>YEAR(Data_CPU[[#This Row],[release_date]])</f>
        <v>2019</v>
      </c>
      <c r="O54" t="str">
        <f t="shared" si="4"/>
        <v>Mid-range</v>
      </c>
      <c r="P54">
        <f t="shared" si="5"/>
        <v>840</v>
      </c>
      <c r="Q54" t="str">
        <f t="shared" si="6"/>
        <v>&gt;3.0 GHz</v>
      </c>
      <c r="R54" t="str">
        <f t="shared" si="7"/>
        <v>Mid</v>
      </c>
    </row>
    <row r="55" spans="1:18" x14ac:dyDescent="0.3">
      <c r="A55">
        <v>60</v>
      </c>
      <c r="B55" t="s">
        <v>16</v>
      </c>
      <c r="C55" t="s">
        <v>140</v>
      </c>
      <c r="D55">
        <v>605</v>
      </c>
      <c r="E55">
        <v>1829</v>
      </c>
      <c r="F55">
        <v>344409</v>
      </c>
      <c r="G55">
        <v>8</v>
      </c>
      <c r="H55" t="s">
        <v>99</v>
      </c>
      <c r="I55">
        <v>2000</v>
      </c>
      <c r="J55" t="s">
        <v>141</v>
      </c>
      <c r="K55">
        <v>2020</v>
      </c>
      <c r="L55" s="1">
        <v>43831</v>
      </c>
      <c r="M55" t="str">
        <f>TRIM(Data_CPU[[#This Row],[cpuName]])</f>
        <v>Snapdragon 690</v>
      </c>
      <c r="N55">
        <f>YEAR(Data_CPU[[#This Row],[release_date]])</f>
        <v>2020</v>
      </c>
      <c r="O55" t="str">
        <f t="shared" si="4"/>
        <v>Mid-range</v>
      </c>
      <c r="P55">
        <f t="shared" si="5"/>
        <v>915</v>
      </c>
      <c r="Q55" t="str">
        <f t="shared" si="6"/>
        <v>&gt;3.0 GHz</v>
      </c>
      <c r="R55" t="str">
        <f t="shared" si="7"/>
        <v>Mid</v>
      </c>
    </row>
    <row r="56" spans="1:18" x14ac:dyDescent="0.3">
      <c r="A56">
        <v>49</v>
      </c>
      <c r="B56" t="s">
        <v>14</v>
      </c>
      <c r="C56" t="s">
        <v>142</v>
      </c>
      <c r="D56">
        <v>609</v>
      </c>
      <c r="E56">
        <v>1819</v>
      </c>
      <c r="F56">
        <v>389068</v>
      </c>
      <c r="G56">
        <v>8</v>
      </c>
      <c r="H56" t="s">
        <v>99</v>
      </c>
      <c r="I56">
        <v>2400</v>
      </c>
      <c r="J56" t="s">
        <v>143</v>
      </c>
      <c r="K56">
        <v>2020</v>
      </c>
      <c r="L56" s="1">
        <v>43831</v>
      </c>
      <c r="M56" t="str">
        <f>TRIM(Data_CPU[[#This Row],[cpuName]])</f>
        <v>Dimensity 800U</v>
      </c>
      <c r="N56">
        <f>YEAR(Data_CPU[[#This Row],[release_date]])</f>
        <v>2020</v>
      </c>
      <c r="O56" t="str">
        <f t="shared" si="4"/>
        <v>Mid-range</v>
      </c>
      <c r="P56">
        <f t="shared" si="5"/>
        <v>758</v>
      </c>
      <c r="Q56" t="str">
        <f t="shared" si="6"/>
        <v>&gt;3.0 GHz</v>
      </c>
      <c r="R56" t="str">
        <f t="shared" si="7"/>
        <v>Mid</v>
      </c>
    </row>
    <row r="57" spans="1:18" x14ac:dyDescent="0.3">
      <c r="A57">
        <v>56</v>
      </c>
      <c r="B57" t="s">
        <v>17</v>
      </c>
      <c r="C57" t="s">
        <v>144</v>
      </c>
      <c r="D57">
        <v>655</v>
      </c>
      <c r="E57">
        <v>1804</v>
      </c>
      <c r="F57">
        <v>316057</v>
      </c>
      <c r="G57">
        <v>8</v>
      </c>
      <c r="H57" t="s">
        <v>99</v>
      </c>
      <c r="I57">
        <v>2000</v>
      </c>
      <c r="J57" t="s">
        <v>139</v>
      </c>
      <c r="K57">
        <v>2020</v>
      </c>
      <c r="L57" s="1">
        <v>43831</v>
      </c>
      <c r="M57" t="str">
        <f>TRIM(Data_CPU[[#This Row],[cpuName]])</f>
        <v>Exynos 880</v>
      </c>
      <c r="N57">
        <f>YEAR(Data_CPU[[#This Row],[release_date]])</f>
        <v>2020</v>
      </c>
      <c r="O57" t="str">
        <f t="shared" si="4"/>
        <v>Mid-range</v>
      </c>
      <c r="P57">
        <f t="shared" si="5"/>
        <v>902</v>
      </c>
      <c r="Q57" t="str">
        <f t="shared" si="6"/>
        <v>&gt;3.0 GHz</v>
      </c>
      <c r="R57" t="str">
        <f t="shared" si="7"/>
        <v>Mid</v>
      </c>
    </row>
    <row r="58" spans="1:18" x14ac:dyDescent="0.3">
      <c r="A58">
        <v>48</v>
      </c>
      <c r="B58" t="s">
        <v>16</v>
      </c>
      <c r="C58" t="s">
        <v>145</v>
      </c>
      <c r="D58">
        <v>587</v>
      </c>
      <c r="E58">
        <v>1790</v>
      </c>
      <c r="F58">
        <v>375497</v>
      </c>
      <c r="G58">
        <v>8</v>
      </c>
      <c r="H58" t="s">
        <v>124</v>
      </c>
      <c r="I58">
        <v>2400</v>
      </c>
      <c r="J58" t="s">
        <v>125</v>
      </c>
      <c r="K58">
        <v>2020</v>
      </c>
      <c r="L58" s="1">
        <v>43831</v>
      </c>
      <c r="M58" t="str">
        <f>TRIM(Data_CPU[[#This Row],[cpuName]])</f>
        <v>Snapdragon 765G</v>
      </c>
      <c r="N58">
        <f>YEAR(Data_CPU[[#This Row],[release_date]])</f>
        <v>2020</v>
      </c>
      <c r="O58" t="str">
        <f t="shared" si="4"/>
        <v>Mid-range</v>
      </c>
      <c r="P58">
        <f t="shared" si="5"/>
        <v>746</v>
      </c>
      <c r="Q58" t="str">
        <f t="shared" si="6"/>
        <v>&gt;3.0 GHz</v>
      </c>
      <c r="R58" t="str">
        <f t="shared" si="7"/>
        <v>Mid</v>
      </c>
    </row>
    <row r="59" spans="1:18" x14ac:dyDescent="0.3">
      <c r="A59">
        <v>55</v>
      </c>
      <c r="B59" t="s">
        <v>16</v>
      </c>
      <c r="C59" t="s">
        <v>146</v>
      </c>
      <c r="D59">
        <v>565</v>
      </c>
      <c r="E59">
        <v>1781</v>
      </c>
      <c r="F59">
        <v>345820</v>
      </c>
      <c r="G59">
        <v>8</v>
      </c>
      <c r="H59" t="s">
        <v>99</v>
      </c>
      <c r="I59">
        <v>2300</v>
      </c>
      <c r="J59" t="s">
        <v>147</v>
      </c>
      <c r="K59">
        <v>2020</v>
      </c>
      <c r="L59" s="1">
        <v>43831</v>
      </c>
      <c r="M59" t="str">
        <f>TRIM(Data_CPU[[#This Row],[cpuName]])</f>
        <v>Snapdragon 732G</v>
      </c>
      <c r="N59">
        <f>YEAR(Data_CPU[[#This Row],[release_date]])</f>
        <v>2020</v>
      </c>
      <c r="O59" t="str">
        <f t="shared" si="4"/>
        <v>Mid-range</v>
      </c>
      <c r="P59">
        <f t="shared" si="5"/>
        <v>774</v>
      </c>
      <c r="Q59" t="str">
        <f t="shared" si="6"/>
        <v>&gt;3.0 GHz</v>
      </c>
      <c r="R59" t="str">
        <f t="shared" si="7"/>
        <v>Mid</v>
      </c>
    </row>
    <row r="60" spans="1:18" x14ac:dyDescent="0.3">
      <c r="A60">
        <v>67</v>
      </c>
      <c r="B60" t="s">
        <v>16</v>
      </c>
      <c r="C60" t="s">
        <v>148</v>
      </c>
      <c r="D60">
        <v>537</v>
      </c>
      <c r="E60">
        <v>1760</v>
      </c>
      <c r="F60">
        <v>318361</v>
      </c>
      <c r="G60">
        <v>8</v>
      </c>
      <c r="H60" t="s">
        <v>99</v>
      </c>
      <c r="I60">
        <v>2200</v>
      </c>
      <c r="J60" t="s">
        <v>147</v>
      </c>
      <c r="K60">
        <v>2019</v>
      </c>
      <c r="L60" s="1">
        <v>43466</v>
      </c>
      <c r="M60" t="str">
        <f>TRIM(Data_CPU[[#This Row],[cpuName]])</f>
        <v>Snapdragon 730</v>
      </c>
      <c r="N60">
        <f>YEAR(Data_CPU[[#This Row],[release_date]])</f>
        <v>2019</v>
      </c>
      <c r="O60" t="str">
        <f t="shared" si="4"/>
        <v>Mid-range</v>
      </c>
      <c r="P60">
        <f t="shared" si="5"/>
        <v>800</v>
      </c>
      <c r="Q60" t="str">
        <f t="shared" si="6"/>
        <v>&gt;3.0 GHz</v>
      </c>
      <c r="R60" t="str">
        <f t="shared" si="7"/>
        <v>Mid</v>
      </c>
    </row>
    <row r="61" spans="1:18" x14ac:dyDescent="0.3">
      <c r="A61">
        <v>58</v>
      </c>
      <c r="B61" t="s">
        <v>14</v>
      </c>
      <c r="C61" t="s">
        <v>149</v>
      </c>
      <c r="D61">
        <v>563</v>
      </c>
      <c r="E61">
        <v>1722</v>
      </c>
      <c r="F61">
        <v>335210</v>
      </c>
      <c r="G61">
        <v>8</v>
      </c>
      <c r="H61" t="s">
        <v>99</v>
      </c>
      <c r="I61">
        <v>2200</v>
      </c>
      <c r="J61" t="s">
        <v>131</v>
      </c>
      <c r="K61">
        <v>2020</v>
      </c>
      <c r="L61" s="1">
        <v>43831</v>
      </c>
      <c r="M61" t="str">
        <f>TRIM(Data_CPU[[#This Row],[cpuName]])</f>
        <v>Dimensity 700</v>
      </c>
      <c r="N61">
        <f>YEAR(Data_CPU[[#This Row],[release_date]])</f>
        <v>2020</v>
      </c>
      <c r="O61" t="str">
        <f t="shared" si="4"/>
        <v>Mid-range</v>
      </c>
      <c r="P61">
        <f t="shared" si="5"/>
        <v>783</v>
      </c>
      <c r="Q61" t="str">
        <f t="shared" si="6"/>
        <v>&gt;3.0 GHz</v>
      </c>
      <c r="R61" t="str">
        <f t="shared" si="7"/>
        <v>Mid</v>
      </c>
    </row>
    <row r="62" spans="1:18" x14ac:dyDescent="0.3">
      <c r="A62">
        <v>63</v>
      </c>
      <c r="B62" t="s">
        <v>16</v>
      </c>
      <c r="C62" t="s">
        <v>150</v>
      </c>
      <c r="D62">
        <v>537</v>
      </c>
      <c r="E62">
        <v>1719</v>
      </c>
      <c r="F62">
        <v>331377</v>
      </c>
      <c r="G62">
        <v>8</v>
      </c>
      <c r="H62" t="s">
        <v>99</v>
      </c>
      <c r="I62">
        <v>2200</v>
      </c>
      <c r="J62" t="s">
        <v>147</v>
      </c>
      <c r="K62">
        <v>2019</v>
      </c>
      <c r="L62" s="1">
        <v>43466</v>
      </c>
      <c r="M62" t="str">
        <f>TRIM(Data_CPU[[#This Row],[cpuName]])</f>
        <v>Snapdragon 730G</v>
      </c>
      <c r="N62">
        <f>YEAR(Data_CPU[[#This Row],[release_date]])</f>
        <v>2019</v>
      </c>
      <c r="O62" t="str">
        <f t="shared" si="4"/>
        <v>Mid-range</v>
      </c>
      <c r="P62">
        <f t="shared" si="5"/>
        <v>781</v>
      </c>
      <c r="Q62" t="str">
        <f t="shared" si="6"/>
        <v>&gt;3.0 GHz</v>
      </c>
      <c r="R62" t="str">
        <f t="shared" si="7"/>
        <v>Mid</v>
      </c>
    </row>
    <row r="63" spans="1:18" x14ac:dyDescent="0.3">
      <c r="A63">
        <v>59</v>
      </c>
      <c r="B63" t="s">
        <v>14</v>
      </c>
      <c r="C63" t="s">
        <v>151</v>
      </c>
      <c r="D63">
        <v>525</v>
      </c>
      <c r="E63">
        <v>1713</v>
      </c>
      <c r="F63">
        <v>343466</v>
      </c>
      <c r="G63">
        <v>8</v>
      </c>
      <c r="H63" t="s">
        <v>99</v>
      </c>
      <c r="I63">
        <v>2000</v>
      </c>
      <c r="J63" t="s">
        <v>143</v>
      </c>
      <c r="K63">
        <v>2020</v>
      </c>
      <c r="L63" s="1">
        <v>43831</v>
      </c>
      <c r="M63" t="str">
        <f>TRIM(Data_CPU[[#This Row],[cpuName]])</f>
        <v>Dimensity 720</v>
      </c>
      <c r="N63">
        <f>YEAR(Data_CPU[[#This Row],[release_date]])</f>
        <v>2020</v>
      </c>
      <c r="O63" t="str">
        <f t="shared" si="4"/>
        <v>Mid-range</v>
      </c>
      <c r="P63">
        <f t="shared" si="5"/>
        <v>857</v>
      </c>
      <c r="Q63" t="str">
        <f t="shared" si="6"/>
        <v>&gt;3.0 GHz</v>
      </c>
      <c r="R63" t="str">
        <f t="shared" si="7"/>
        <v>Mid</v>
      </c>
    </row>
    <row r="64" spans="1:18" x14ac:dyDescent="0.3">
      <c r="A64">
        <v>66</v>
      </c>
      <c r="B64" t="s">
        <v>16</v>
      </c>
      <c r="C64" t="s">
        <v>152</v>
      </c>
      <c r="D64">
        <v>386</v>
      </c>
      <c r="E64">
        <v>1710</v>
      </c>
      <c r="F64">
        <v>314279</v>
      </c>
      <c r="G64">
        <v>8</v>
      </c>
      <c r="H64" t="s">
        <v>58</v>
      </c>
      <c r="I64">
        <v>2450</v>
      </c>
      <c r="J64" t="s">
        <v>153</v>
      </c>
      <c r="K64">
        <v>2017</v>
      </c>
      <c r="L64" s="1">
        <v>42736</v>
      </c>
      <c r="M64" t="str">
        <f>TRIM(Data_CPU[[#This Row],[cpuName]])</f>
        <v>Snapdragon 835</v>
      </c>
      <c r="N64">
        <f>YEAR(Data_CPU[[#This Row],[release_date]])</f>
        <v>2017</v>
      </c>
      <c r="O64" t="str">
        <f t="shared" si="4"/>
        <v>Mid-range</v>
      </c>
      <c r="P64">
        <f t="shared" si="5"/>
        <v>698</v>
      </c>
      <c r="Q64" t="str">
        <f t="shared" si="6"/>
        <v>&gt;3.0 GHz</v>
      </c>
      <c r="R64" t="str">
        <f t="shared" si="7"/>
        <v>Mid</v>
      </c>
    </row>
    <row r="65" spans="1:18" x14ac:dyDescent="0.3">
      <c r="A65">
        <v>61</v>
      </c>
      <c r="B65" t="s">
        <v>16</v>
      </c>
      <c r="C65" t="s">
        <v>154</v>
      </c>
      <c r="D65">
        <v>567</v>
      </c>
      <c r="E65">
        <v>1684</v>
      </c>
      <c r="F65">
        <v>336689</v>
      </c>
      <c r="G65">
        <v>8</v>
      </c>
      <c r="H65" t="s">
        <v>99</v>
      </c>
      <c r="I65">
        <v>2300</v>
      </c>
      <c r="J65" t="s">
        <v>147</v>
      </c>
      <c r="K65">
        <v>2020</v>
      </c>
      <c r="L65" s="1">
        <v>43831</v>
      </c>
      <c r="M65" t="str">
        <f>TRIM(Data_CPU[[#This Row],[cpuName]])</f>
        <v>Snapdragon 720G</v>
      </c>
      <c r="N65">
        <f>YEAR(Data_CPU[[#This Row],[release_date]])</f>
        <v>2020</v>
      </c>
      <c r="O65" t="str">
        <f t="shared" si="4"/>
        <v>Mid-range</v>
      </c>
      <c r="P65">
        <f t="shared" si="5"/>
        <v>732</v>
      </c>
      <c r="Q65" t="str">
        <f t="shared" si="6"/>
        <v>&gt;3.0 GHz</v>
      </c>
      <c r="R65" t="str">
        <f t="shared" si="7"/>
        <v>Mid</v>
      </c>
    </row>
    <row r="66" spans="1:18" x14ac:dyDescent="0.3">
      <c r="A66">
        <v>69</v>
      </c>
      <c r="B66" t="s">
        <v>16</v>
      </c>
      <c r="C66" t="s">
        <v>155</v>
      </c>
      <c r="D66">
        <v>508</v>
      </c>
      <c r="E66">
        <v>1661</v>
      </c>
      <c r="F66">
        <v>285291</v>
      </c>
      <c r="G66">
        <v>8</v>
      </c>
      <c r="H66" t="s">
        <v>99</v>
      </c>
      <c r="I66">
        <v>2000</v>
      </c>
      <c r="J66" t="s">
        <v>122</v>
      </c>
      <c r="K66">
        <v>2021</v>
      </c>
      <c r="L66" s="1">
        <v>44197</v>
      </c>
      <c r="M66" t="str">
        <f>TRIM(Data_CPU[[#This Row],[cpuName]])</f>
        <v>Snapdragon 480</v>
      </c>
      <c r="N66">
        <f>YEAR(Data_CPU[[#This Row],[release_date]])</f>
        <v>2021</v>
      </c>
      <c r="O66" t="str">
        <f t="shared" ref="O66:O97" si="8">IF(E66&gt;=3000,"Flagship",IF(E66&gt;=2000,"High-end",IF(E66&gt;=1000,"Mid-range","Entry")))</f>
        <v>Mid-range</v>
      </c>
      <c r="P66">
        <f t="shared" ref="P66:P97" si="9">ROUND(E66/(I66/1000),0)</f>
        <v>831</v>
      </c>
      <c r="Q66" t="str">
        <f t="shared" ref="Q66:Q97" si="10">IF(H66&gt;3000,"&gt;3.0 GHz",IF(H66&gt;2500,"2.5-3.0 GHz",IF(H66&gt;2000,"2.0-2.5 GHz","≤2.0 GHz")))</f>
        <v>&gt;3.0 GHz</v>
      </c>
      <c r="R66" t="str">
        <f t="shared" ref="R66:R97" si="11">IF(F66&gt;=800000,"Ultra",IF(F66&gt;=600000,"High",IF(F66&gt;=300000,"Mid","Low")))</f>
        <v>Low</v>
      </c>
    </row>
    <row r="67" spans="1:18" x14ac:dyDescent="0.3">
      <c r="A67">
        <v>62</v>
      </c>
      <c r="B67" t="s">
        <v>14</v>
      </c>
      <c r="C67" t="s">
        <v>156</v>
      </c>
      <c r="D67">
        <v>509</v>
      </c>
      <c r="E67">
        <v>1630</v>
      </c>
      <c r="F67">
        <v>339645</v>
      </c>
      <c r="G67">
        <v>8</v>
      </c>
      <c r="H67" t="s">
        <v>99</v>
      </c>
      <c r="I67">
        <v>2000</v>
      </c>
      <c r="J67" t="s">
        <v>157</v>
      </c>
      <c r="K67">
        <v>2019</v>
      </c>
      <c r="L67" s="1">
        <v>43466</v>
      </c>
      <c r="M67" t="str">
        <f>TRIM(Data_CPU[[#This Row],[cpuName]])</f>
        <v>Helio G90</v>
      </c>
      <c r="N67">
        <f>YEAR(Data_CPU[[#This Row],[release_date]])</f>
        <v>2019</v>
      </c>
      <c r="O67" t="str">
        <f t="shared" si="8"/>
        <v>Mid-range</v>
      </c>
      <c r="P67">
        <f t="shared" si="9"/>
        <v>815</v>
      </c>
      <c r="Q67" t="str">
        <f t="shared" si="10"/>
        <v>&gt;3.0 GHz</v>
      </c>
      <c r="R67" t="str">
        <f t="shared" si="11"/>
        <v>Mid</v>
      </c>
    </row>
    <row r="68" spans="1:18" x14ac:dyDescent="0.3">
      <c r="A68">
        <v>68</v>
      </c>
      <c r="B68" t="s">
        <v>14</v>
      </c>
      <c r="C68" t="s">
        <v>158</v>
      </c>
      <c r="D68">
        <v>494</v>
      </c>
      <c r="E68">
        <v>1618</v>
      </c>
      <c r="F68">
        <v>329108</v>
      </c>
      <c r="G68">
        <v>8</v>
      </c>
      <c r="H68" t="s">
        <v>99</v>
      </c>
      <c r="I68">
        <v>2050</v>
      </c>
      <c r="J68" t="s">
        <v>157</v>
      </c>
      <c r="K68">
        <v>2019</v>
      </c>
      <c r="L68" s="1">
        <v>43466</v>
      </c>
      <c r="M68" t="str">
        <f>TRIM(Data_CPU[[#This Row],[cpuName]])</f>
        <v>Helio G90T</v>
      </c>
      <c r="N68">
        <f>YEAR(Data_CPU[[#This Row],[release_date]])</f>
        <v>2019</v>
      </c>
      <c r="O68" t="str">
        <f t="shared" si="8"/>
        <v>Mid-range</v>
      </c>
      <c r="P68">
        <f t="shared" si="9"/>
        <v>789</v>
      </c>
      <c r="Q68" t="str">
        <f t="shared" si="10"/>
        <v>&gt;3.0 GHz</v>
      </c>
      <c r="R68" t="str">
        <f t="shared" si="11"/>
        <v>Mid</v>
      </c>
    </row>
    <row r="69" spans="1:18" x14ac:dyDescent="0.3">
      <c r="A69">
        <v>65</v>
      </c>
      <c r="B69" t="s">
        <v>14</v>
      </c>
      <c r="C69" t="s">
        <v>159</v>
      </c>
      <c r="D69">
        <v>511</v>
      </c>
      <c r="E69">
        <v>1600</v>
      </c>
      <c r="F69">
        <v>336924</v>
      </c>
      <c r="G69">
        <v>8</v>
      </c>
      <c r="H69" t="s">
        <v>99</v>
      </c>
      <c r="I69">
        <v>2050</v>
      </c>
      <c r="J69" t="s">
        <v>160</v>
      </c>
      <c r="K69">
        <v>2020</v>
      </c>
      <c r="L69" s="1">
        <v>43831</v>
      </c>
      <c r="M69" t="str">
        <f>TRIM(Data_CPU[[#This Row],[cpuName]])</f>
        <v>Helio G95</v>
      </c>
      <c r="N69">
        <f>YEAR(Data_CPU[[#This Row],[release_date]])</f>
        <v>2020</v>
      </c>
      <c r="O69" t="str">
        <f t="shared" si="8"/>
        <v>Mid-range</v>
      </c>
      <c r="P69">
        <f t="shared" si="9"/>
        <v>780</v>
      </c>
      <c r="Q69" t="str">
        <f t="shared" si="10"/>
        <v>&gt;3.0 GHz</v>
      </c>
      <c r="R69" t="str">
        <f t="shared" si="11"/>
        <v>Mid</v>
      </c>
    </row>
    <row r="70" spans="1:18" x14ac:dyDescent="0.3">
      <c r="A70">
        <v>57</v>
      </c>
      <c r="B70" t="s">
        <v>16</v>
      </c>
      <c r="C70" t="s">
        <v>161</v>
      </c>
      <c r="D70">
        <v>533</v>
      </c>
      <c r="E70">
        <v>1590</v>
      </c>
      <c r="F70">
        <v>344096</v>
      </c>
      <c r="G70">
        <v>8</v>
      </c>
      <c r="H70" t="s">
        <v>99</v>
      </c>
      <c r="I70">
        <v>2200</v>
      </c>
      <c r="J70" t="s">
        <v>122</v>
      </c>
      <c r="K70">
        <v>2021</v>
      </c>
      <c r="L70" s="1">
        <v>44197</v>
      </c>
      <c r="M70" t="str">
        <f>TRIM(Data_CPU[[#This Row],[cpuName]])</f>
        <v>Snapdragon 480 Plus</v>
      </c>
      <c r="N70">
        <f>YEAR(Data_CPU[[#This Row],[release_date]])</f>
        <v>2021</v>
      </c>
      <c r="O70" t="str">
        <f t="shared" si="8"/>
        <v>Mid-range</v>
      </c>
      <c r="P70">
        <f t="shared" si="9"/>
        <v>723</v>
      </c>
      <c r="Q70" t="str">
        <f t="shared" si="10"/>
        <v>&gt;3.0 GHz</v>
      </c>
      <c r="R70" t="str">
        <f t="shared" si="11"/>
        <v>Mid</v>
      </c>
    </row>
    <row r="71" spans="1:18" x14ac:dyDescent="0.3">
      <c r="A71">
        <v>84</v>
      </c>
      <c r="B71" t="s">
        <v>12</v>
      </c>
      <c r="C71" t="s">
        <v>162</v>
      </c>
      <c r="D71">
        <v>377</v>
      </c>
      <c r="E71">
        <v>1579</v>
      </c>
      <c r="F71">
        <v>251942</v>
      </c>
      <c r="G71">
        <v>8</v>
      </c>
      <c r="H71" t="s">
        <v>58</v>
      </c>
      <c r="I71">
        <v>2360</v>
      </c>
      <c r="J71" t="s">
        <v>163</v>
      </c>
      <c r="K71">
        <v>2016</v>
      </c>
      <c r="L71" s="1">
        <v>42370</v>
      </c>
      <c r="M71" t="str">
        <f>TRIM(Data_CPU[[#This Row],[cpuName]])</f>
        <v>Kirin 960</v>
      </c>
      <c r="N71">
        <f>YEAR(Data_CPU[[#This Row],[release_date]])</f>
        <v>2016</v>
      </c>
      <c r="O71" t="str">
        <f t="shared" si="8"/>
        <v>Mid-range</v>
      </c>
      <c r="P71">
        <f t="shared" si="9"/>
        <v>669</v>
      </c>
      <c r="Q71" t="str">
        <f t="shared" si="10"/>
        <v>&gt;3.0 GHz</v>
      </c>
      <c r="R71" t="str">
        <f t="shared" si="11"/>
        <v>Low</v>
      </c>
    </row>
    <row r="72" spans="1:18" x14ac:dyDescent="0.3">
      <c r="A72">
        <v>73</v>
      </c>
      <c r="B72" t="s">
        <v>17</v>
      </c>
      <c r="C72" t="s">
        <v>164</v>
      </c>
      <c r="D72">
        <v>377</v>
      </c>
      <c r="E72">
        <v>1552</v>
      </c>
      <c r="F72">
        <v>287444</v>
      </c>
      <c r="G72">
        <v>8</v>
      </c>
      <c r="H72" t="s">
        <v>58</v>
      </c>
      <c r="I72">
        <v>2300</v>
      </c>
      <c r="J72" t="s">
        <v>165</v>
      </c>
      <c r="K72">
        <v>2017</v>
      </c>
      <c r="L72" s="1">
        <v>42736</v>
      </c>
      <c r="M72" t="str">
        <f>TRIM(Data_CPU[[#This Row],[cpuName]])</f>
        <v>Exynos 8895</v>
      </c>
      <c r="N72">
        <f>YEAR(Data_CPU[[#This Row],[release_date]])</f>
        <v>2017</v>
      </c>
      <c r="O72" t="str">
        <f t="shared" si="8"/>
        <v>Mid-range</v>
      </c>
      <c r="P72">
        <f t="shared" si="9"/>
        <v>675</v>
      </c>
      <c r="Q72" t="str">
        <f t="shared" si="10"/>
        <v>&gt;3.0 GHz</v>
      </c>
      <c r="R72" t="str">
        <f t="shared" si="11"/>
        <v>Low</v>
      </c>
    </row>
    <row r="73" spans="1:18" x14ac:dyDescent="0.3">
      <c r="A73">
        <v>71</v>
      </c>
      <c r="B73" t="s">
        <v>16</v>
      </c>
      <c r="C73" t="s">
        <v>166</v>
      </c>
      <c r="D73">
        <v>373</v>
      </c>
      <c r="E73">
        <v>1548</v>
      </c>
      <c r="F73">
        <v>275397</v>
      </c>
      <c r="G73">
        <v>8</v>
      </c>
      <c r="H73" t="s">
        <v>58</v>
      </c>
      <c r="I73">
        <v>2400</v>
      </c>
      <c r="J73" t="s">
        <v>167</v>
      </c>
      <c r="K73">
        <v>2022</v>
      </c>
      <c r="L73" s="1">
        <v>44562</v>
      </c>
      <c r="M73" t="str">
        <f>TRIM(Data_CPU[[#This Row],[cpuName]])</f>
        <v>Snapdragon 680</v>
      </c>
      <c r="N73">
        <f>YEAR(Data_CPU[[#This Row],[release_date]])</f>
        <v>2022</v>
      </c>
      <c r="O73" t="str">
        <f t="shared" si="8"/>
        <v>Mid-range</v>
      </c>
      <c r="P73">
        <f t="shared" si="9"/>
        <v>645</v>
      </c>
      <c r="Q73" t="str">
        <f t="shared" si="10"/>
        <v>&gt;3.0 GHz</v>
      </c>
      <c r="R73" t="str">
        <f t="shared" si="11"/>
        <v>Low</v>
      </c>
    </row>
    <row r="74" spans="1:18" x14ac:dyDescent="0.3">
      <c r="A74">
        <v>76</v>
      </c>
      <c r="B74" t="s">
        <v>16</v>
      </c>
      <c r="C74" t="s">
        <v>168</v>
      </c>
      <c r="D74">
        <v>526</v>
      </c>
      <c r="E74">
        <v>1534</v>
      </c>
      <c r="F74">
        <v>281383</v>
      </c>
      <c r="G74">
        <v>8</v>
      </c>
      <c r="H74" t="s">
        <v>99</v>
      </c>
      <c r="I74">
        <v>2200</v>
      </c>
      <c r="J74" t="s">
        <v>169</v>
      </c>
      <c r="K74">
        <v>2020</v>
      </c>
      <c r="L74" s="1">
        <v>43831</v>
      </c>
      <c r="M74" t="str">
        <f>TRIM(Data_CPU[[#This Row],[cpuName]])</f>
        <v>Snapdragon 678</v>
      </c>
      <c r="N74">
        <f>YEAR(Data_CPU[[#This Row],[release_date]])</f>
        <v>2020</v>
      </c>
      <c r="O74" t="str">
        <f t="shared" si="8"/>
        <v>Mid-range</v>
      </c>
      <c r="P74">
        <f t="shared" si="9"/>
        <v>697</v>
      </c>
      <c r="Q74" t="str">
        <f t="shared" si="10"/>
        <v>&gt;3.0 GHz</v>
      </c>
      <c r="R74" t="str">
        <f t="shared" si="11"/>
        <v>Low</v>
      </c>
    </row>
    <row r="75" spans="1:18" x14ac:dyDescent="0.3">
      <c r="A75">
        <v>74</v>
      </c>
      <c r="B75" t="s">
        <v>14</v>
      </c>
      <c r="C75" t="s">
        <v>170</v>
      </c>
      <c r="D75">
        <v>408</v>
      </c>
      <c r="E75">
        <v>1502</v>
      </c>
      <c r="F75">
        <v>274746</v>
      </c>
      <c r="G75">
        <v>8</v>
      </c>
      <c r="H75" t="s">
        <v>99</v>
      </c>
      <c r="I75">
        <v>2200</v>
      </c>
      <c r="J75" t="s">
        <v>171</v>
      </c>
      <c r="K75">
        <v>2020</v>
      </c>
      <c r="L75" s="1">
        <v>43831</v>
      </c>
      <c r="M75" t="str">
        <f>TRIM(Data_CPU[[#This Row],[cpuName]])</f>
        <v>Helio P95</v>
      </c>
      <c r="N75">
        <f>YEAR(Data_CPU[[#This Row],[release_date]])</f>
        <v>2020</v>
      </c>
      <c r="O75" t="str">
        <f t="shared" si="8"/>
        <v>Mid-range</v>
      </c>
      <c r="P75">
        <f t="shared" si="9"/>
        <v>683</v>
      </c>
      <c r="Q75" t="str">
        <f t="shared" si="10"/>
        <v>&gt;3.0 GHz</v>
      </c>
      <c r="R75" t="str">
        <f t="shared" si="11"/>
        <v>Low</v>
      </c>
    </row>
    <row r="76" spans="1:18" x14ac:dyDescent="0.3">
      <c r="A76">
        <v>75</v>
      </c>
      <c r="B76" t="s">
        <v>16</v>
      </c>
      <c r="C76" t="s">
        <v>172</v>
      </c>
      <c r="D76">
        <v>399</v>
      </c>
      <c r="E76">
        <v>1496</v>
      </c>
      <c r="F76">
        <v>278912</v>
      </c>
      <c r="G76">
        <v>8</v>
      </c>
      <c r="H76" t="s">
        <v>99</v>
      </c>
      <c r="I76">
        <v>2300</v>
      </c>
      <c r="J76" t="s">
        <v>173</v>
      </c>
      <c r="K76">
        <v>2018</v>
      </c>
      <c r="L76" s="1">
        <v>43101</v>
      </c>
      <c r="M76" t="str">
        <f>TRIM(Data_CPU[[#This Row],[cpuName]])</f>
        <v>Snapdragon 712</v>
      </c>
      <c r="N76">
        <f>YEAR(Data_CPU[[#This Row],[release_date]])</f>
        <v>2018</v>
      </c>
      <c r="O76" t="str">
        <f t="shared" si="8"/>
        <v>Mid-range</v>
      </c>
      <c r="P76">
        <f t="shared" si="9"/>
        <v>650</v>
      </c>
      <c r="Q76" t="str">
        <f t="shared" si="10"/>
        <v>&gt;3.0 GHz</v>
      </c>
      <c r="R76" t="str">
        <f t="shared" si="11"/>
        <v>Low</v>
      </c>
    </row>
    <row r="77" spans="1:18" x14ac:dyDescent="0.3">
      <c r="A77">
        <v>81</v>
      </c>
      <c r="B77" t="s">
        <v>14</v>
      </c>
      <c r="C77" t="s">
        <v>174</v>
      </c>
      <c r="D77">
        <v>391</v>
      </c>
      <c r="E77">
        <v>1473</v>
      </c>
      <c r="F77">
        <v>252818</v>
      </c>
      <c r="G77">
        <v>8</v>
      </c>
      <c r="H77" t="s">
        <v>99</v>
      </c>
      <c r="I77">
        <v>2200</v>
      </c>
      <c r="J77" t="s">
        <v>171</v>
      </c>
      <c r="K77">
        <v>2018</v>
      </c>
      <c r="L77" s="1">
        <v>43101</v>
      </c>
      <c r="M77" t="str">
        <f>TRIM(Data_CPU[[#This Row],[cpuName]])</f>
        <v>Helio P90</v>
      </c>
      <c r="N77">
        <f>YEAR(Data_CPU[[#This Row],[release_date]])</f>
        <v>2018</v>
      </c>
      <c r="O77" t="str">
        <f t="shared" si="8"/>
        <v>Mid-range</v>
      </c>
      <c r="P77">
        <f t="shared" si="9"/>
        <v>670</v>
      </c>
      <c r="Q77" t="str">
        <f t="shared" si="10"/>
        <v>&gt;3.0 GHz</v>
      </c>
      <c r="R77" t="str">
        <f t="shared" si="11"/>
        <v>Low</v>
      </c>
    </row>
    <row r="78" spans="1:18" x14ac:dyDescent="0.3">
      <c r="A78">
        <v>77</v>
      </c>
      <c r="B78" t="s">
        <v>16</v>
      </c>
      <c r="C78" t="s">
        <v>175</v>
      </c>
      <c r="D78">
        <v>386</v>
      </c>
      <c r="E78">
        <v>1444</v>
      </c>
      <c r="F78">
        <v>261027</v>
      </c>
      <c r="G78">
        <v>8</v>
      </c>
      <c r="H78" t="s">
        <v>99</v>
      </c>
      <c r="I78">
        <v>2200</v>
      </c>
      <c r="J78" t="s">
        <v>173</v>
      </c>
      <c r="K78">
        <v>2018</v>
      </c>
      <c r="L78" s="1">
        <v>43101</v>
      </c>
      <c r="M78" t="str">
        <f>TRIM(Data_CPU[[#This Row],[cpuName]])</f>
        <v>Snapdragon 710</v>
      </c>
      <c r="N78">
        <f>YEAR(Data_CPU[[#This Row],[release_date]])</f>
        <v>2018</v>
      </c>
      <c r="O78" t="str">
        <f t="shared" si="8"/>
        <v>Mid-range</v>
      </c>
      <c r="P78">
        <f t="shared" si="9"/>
        <v>656</v>
      </c>
      <c r="Q78" t="str">
        <f t="shared" si="10"/>
        <v>&gt;3.0 GHz</v>
      </c>
      <c r="R78" t="str">
        <f t="shared" si="11"/>
        <v>Low</v>
      </c>
    </row>
    <row r="79" spans="1:18" x14ac:dyDescent="0.3">
      <c r="A79">
        <v>70</v>
      </c>
      <c r="B79" t="s">
        <v>7</v>
      </c>
      <c r="C79" t="s">
        <v>176</v>
      </c>
      <c r="D79">
        <v>776</v>
      </c>
      <c r="E79">
        <v>1397</v>
      </c>
      <c r="F79">
        <v>298838</v>
      </c>
      <c r="G79">
        <v>4</v>
      </c>
      <c r="H79" t="s">
        <v>177</v>
      </c>
      <c r="I79">
        <v>2340</v>
      </c>
      <c r="J79" t="s">
        <v>178</v>
      </c>
      <c r="K79">
        <v>2016</v>
      </c>
      <c r="L79" s="1">
        <v>42370</v>
      </c>
      <c r="M79" t="str">
        <f>TRIM(Data_CPU[[#This Row],[cpuName]])</f>
        <v>A10 Fusion</v>
      </c>
      <c r="N79">
        <f>YEAR(Data_CPU[[#This Row],[release_date]])</f>
        <v>2016</v>
      </c>
      <c r="O79" t="str">
        <f t="shared" si="8"/>
        <v>Mid-range</v>
      </c>
      <c r="P79">
        <f t="shared" si="9"/>
        <v>597</v>
      </c>
      <c r="Q79" t="str">
        <f t="shared" si="10"/>
        <v>&gt;3.0 GHz</v>
      </c>
      <c r="R79" t="str">
        <f t="shared" si="11"/>
        <v>Low</v>
      </c>
    </row>
    <row r="80" spans="1:18" x14ac:dyDescent="0.3">
      <c r="A80">
        <v>102</v>
      </c>
      <c r="B80" t="s">
        <v>14</v>
      </c>
      <c r="C80" t="s">
        <v>179</v>
      </c>
      <c r="D80">
        <v>297</v>
      </c>
      <c r="E80">
        <v>1394</v>
      </c>
      <c r="F80">
        <v>179665</v>
      </c>
      <c r="G80">
        <v>8</v>
      </c>
      <c r="H80" t="s">
        <v>58</v>
      </c>
      <c r="I80">
        <v>2100</v>
      </c>
      <c r="J80" t="s">
        <v>180</v>
      </c>
      <c r="K80">
        <v>2018</v>
      </c>
      <c r="L80" s="1">
        <v>43101</v>
      </c>
      <c r="M80" t="str">
        <f>TRIM(Data_CPU[[#This Row],[cpuName]])</f>
        <v>Helio P70</v>
      </c>
      <c r="N80">
        <f>YEAR(Data_CPU[[#This Row],[release_date]])</f>
        <v>2018</v>
      </c>
      <c r="O80" t="str">
        <f t="shared" si="8"/>
        <v>Mid-range</v>
      </c>
      <c r="P80">
        <f t="shared" si="9"/>
        <v>664</v>
      </c>
      <c r="Q80" t="str">
        <f t="shared" si="10"/>
        <v>&gt;3.0 GHz</v>
      </c>
      <c r="R80" t="str">
        <f t="shared" si="11"/>
        <v>Low</v>
      </c>
    </row>
    <row r="81" spans="1:18" x14ac:dyDescent="0.3">
      <c r="A81">
        <v>92</v>
      </c>
      <c r="B81" t="s">
        <v>16</v>
      </c>
      <c r="C81" t="s">
        <v>181</v>
      </c>
      <c r="D81">
        <v>314</v>
      </c>
      <c r="E81">
        <v>1393</v>
      </c>
      <c r="F81">
        <v>205946</v>
      </c>
      <c r="G81">
        <v>8</v>
      </c>
      <c r="H81" t="s">
        <v>58</v>
      </c>
      <c r="I81">
        <v>2000</v>
      </c>
      <c r="J81" t="s">
        <v>167</v>
      </c>
      <c r="K81">
        <v>2020</v>
      </c>
      <c r="L81" s="1">
        <v>43831</v>
      </c>
      <c r="M81" t="str">
        <f>TRIM(Data_CPU[[#This Row],[cpuName]])</f>
        <v>Snapdragon 662</v>
      </c>
      <c r="N81">
        <f>YEAR(Data_CPU[[#This Row],[release_date]])</f>
        <v>2020</v>
      </c>
      <c r="O81" t="str">
        <f t="shared" si="8"/>
        <v>Mid-range</v>
      </c>
      <c r="P81">
        <f t="shared" si="9"/>
        <v>697</v>
      </c>
      <c r="Q81" t="str">
        <f t="shared" si="10"/>
        <v>&gt;3.0 GHz</v>
      </c>
      <c r="R81" t="str">
        <f t="shared" si="11"/>
        <v>Low</v>
      </c>
    </row>
    <row r="82" spans="1:18" x14ac:dyDescent="0.3">
      <c r="A82">
        <v>90</v>
      </c>
      <c r="B82" t="s">
        <v>19</v>
      </c>
      <c r="C82" t="s">
        <v>182</v>
      </c>
      <c r="D82">
        <v>377</v>
      </c>
      <c r="E82">
        <v>1391</v>
      </c>
      <c r="F82">
        <v>224095</v>
      </c>
      <c r="G82">
        <v>8</v>
      </c>
      <c r="H82" t="s">
        <v>99</v>
      </c>
      <c r="I82">
        <v>2000</v>
      </c>
      <c r="J82" t="s">
        <v>183</v>
      </c>
      <c r="K82">
        <v>2021</v>
      </c>
      <c r="L82" s="1">
        <v>44197</v>
      </c>
      <c r="M82" t="str">
        <f>TRIM(Data_CPU[[#This Row],[cpuName]])</f>
        <v>Tiger T616</v>
      </c>
      <c r="N82">
        <f>YEAR(Data_CPU[[#This Row],[release_date]])</f>
        <v>2021</v>
      </c>
      <c r="O82" t="str">
        <f t="shared" si="8"/>
        <v>Mid-range</v>
      </c>
      <c r="P82">
        <f t="shared" si="9"/>
        <v>696</v>
      </c>
      <c r="Q82" t="str">
        <f t="shared" si="10"/>
        <v>&gt;3.0 GHz</v>
      </c>
      <c r="R82" t="str">
        <f t="shared" si="11"/>
        <v>Low</v>
      </c>
    </row>
    <row r="83" spans="1:18" x14ac:dyDescent="0.3">
      <c r="A83">
        <v>80</v>
      </c>
      <c r="B83" t="s">
        <v>16</v>
      </c>
      <c r="C83" t="s">
        <v>184</v>
      </c>
      <c r="D83">
        <v>420</v>
      </c>
      <c r="E83">
        <v>1375</v>
      </c>
      <c r="F83">
        <v>260078</v>
      </c>
      <c r="G83">
        <v>8</v>
      </c>
      <c r="H83" t="s">
        <v>99</v>
      </c>
      <c r="I83">
        <v>2000</v>
      </c>
      <c r="J83" t="s">
        <v>169</v>
      </c>
      <c r="K83">
        <v>2018</v>
      </c>
      <c r="L83" s="1">
        <v>43101</v>
      </c>
      <c r="M83" t="str">
        <f>TRIM(Data_CPU[[#This Row],[cpuName]])</f>
        <v>Snapdragon 675</v>
      </c>
      <c r="N83">
        <f>YEAR(Data_CPU[[#This Row],[release_date]])</f>
        <v>2018</v>
      </c>
      <c r="O83" t="str">
        <f t="shared" si="8"/>
        <v>Mid-range</v>
      </c>
      <c r="P83">
        <f t="shared" si="9"/>
        <v>688</v>
      </c>
      <c r="Q83" t="str">
        <f t="shared" si="10"/>
        <v>&gt;3.0 GHz</v>
      </c>
      <c r="R83" t="str">
        <f t="shared" si="11"/>
        <v>Low</v>
      </c>
    </row>
    <row r="84" spans="1:18" x14ac:dyDescent="0.3">
      <c r="A84">
        <v>72</v>
      </c>
      <c r="B84" t="s">
        <v>12</v>
      </c>
      <c r="C84" t="s">
        <v>185</v>
      </c>
      <c r="D84">
        <v>385</v>
      </c>
      <c r="E84">
        <v>1361</v>
      </c>
      <c r="F84">
        <v>321644</v>
      </c>
      <c r="G84">
        <v>8</v>
      </c>
      <c r="H84" t="s">
        <v>58</v>
      </c>
      <c r="I84">
        <v>2360</v>
      </c>
      <c r="J84" t="s">
        <v>186</v>
      </c>
      <c r="K84">
        <v>2017</v>
      </c>
      <c r="L84" s="1">
        <v>42736</v>
      </c>
      <c r="M84" t="str">
        <f>TRIM(Data_CPU[[#This Row],[cpuName]])</f>
        <v>Kirin 970</v>
      </c>
      <c r="N84">
        <f>YEAR(Data_CPU[[#This Row],[release_date]])</f>
        <v>2017</v>
      </c>
      <c r="O84" t="str">
        <f t="shared" si="8"/>
        <v>Mid-range</v>
      </c>
      <c r="P84">
        <f t="shared" si="9"/>
        <v>577</v>
      </c>
      <c r="Q84" t="str">
        <f t="shared" si="10"/>
        <v>&gt;3.0 GHz</v>
      </c>
      <c r="R84" t="str">
        <f t="shared" si="11"/>
        <v>Mid</v>
      </c>
    </row>
    <row r="85" spans="1:18" x14ac:dyDescent="0.3">
      <c r="A85">
        <v>94</v>
      </c>
      <c r="B85" t="s">
        <v>16</v>
      </c>
      <c r="C85" t="s">
        <v>187</v>
      </c>
      <c r="D85">
        <v>314</v>
      </c>
      <c r="E85">
        <v>1345</v>
      </c>
      <c r="F85">
        <v>195538</v>
      </c>
      <c r="G85">
        <v>8</v>
      </c>
      <c r="H85" t="s">
        <v>58</v>
      </c>
      <c r="I85">
        <v>2000</v>
      </c>
      <c r="J85" t="s">
        <v>167</v>
      </c>
      <c r="K85">
        <v>2019</v>
      </c>
      <c r="L85" s="1">
        <v>43466</v>
      </c>
      <c r="M85" t="str">
        <f>TRIM(Data_CPU[[#This Row],[cpuName]])</f>
        <v>Snapdragon 665</v>
      </c>
      <c r="N85">
        <f>YEAR(Data_CPU[[#This Row],[release_date]])</f>
        <v>2019</v>
      </c>
      <c r="O85" t="str">
        <f t="shared" si="8"/>
        <v>Mid-range</v>
      </c>
      <c r="P85">
        <f t="shared" si="9"/>
        <v>673</v>
      </c>
      <c r="Q85" t="str">
        <f t="shared" si="10"/>
        <v>&gt;3.0 GHz</v>
      </c>
      <c r="R85" t="str">
        <f t="shared" si="11"/>
        <v>Low</v>
      </c>
    </row>
    <row r="86" spans="1:18" x14ac:dyDescent="0.3">
      <c r="A86">
        <v>96</v>
      </c>
      <c r="B86" t="s">
        <v>12</v>
      </c>
      <c r="C86" t="s">
        <v>188</v>
      </c>
      <c r="D86">
        <v>324</v>
      </c>
      <c r="E86">
        <v>1328</v>
      </c>
      <c r="F86">
        <v>207028</v>
      </c>
      <c r="G86">
        <v>8</v>
      </c>
      <c r="H86" t="s">
        <v>58</v>
      </c>
      <c r="I86">
        <v>2200</v>
      </c>
      <c r="J86" t="s">
        <v>189</v>
      </c>
      <c r="K86">
        <v>2020</v>
      </c>
      <c r="L86" s="1">
        <v>43831</v>
      </c>
      <c r="M86" t="str">
        <f>TRIM(Data_CPU[[#This Row],[cpuName]])</f>
        <v>Kirin 710F</v>
      </c>
      <c r="N86">
        <f>YEAR(Data_CPU[[#This Row],[release_date]])</f>
        <v>2020</v>
      </c>
      <c r="O86" t="str">
        <f t="shared" si="8"/>
        <v>Mid-range</v>
      </c>
      <c r="P86">
        <f t="shared" si="9"/>
        <v>604</v>
      </c>
      <c r="Q86" t="str">
        <f t="shared" si="10"/>
        <v>&gt;3.0 GHz</v>
      </c>
      <c r="R86" t="str">
        <f t="shared" si="11"/>
        <v>Low</v>
      </c>
    </row>
    <row r="87" spans="1:18" x14ac:dyDescent="0.3">
      <c r="A87">
        <v>78</v>
      </c>
      <c r="B87" t="s">
        <v>19</v>
      </c>
      <c r="C87" t="s">
        <v>190</v>
      </c>
      <c r="D87">
        <v>393</v>
      </c>
      <c r="E87">
        <v>1327</v>
      </c>
      <c r="F87">
        <v>250989</v>
      </c>
      <c r="G87">
        <v>8</v>
      </c>
      <c r="H87" t="s">
        <v>99</v>
      </c>
      <c r="I87">
        <v>2000</v>
      </c>
      <c r="J87" t="s">
        <v>191</v>
      </c>
      <c r="K87">
        <v>2020</v>
      </c>
      <c r="L87" s="1">
        <v>43831</v>
      </c>
      <c r="M87" t="str">
        <f>TRIM(Data_CPU[[#This Row],[cpuName]])</f>
        <v>Tiger T618</v>
      </c>
      <c r="N87">
        <f>YEAR(Data_CPU[[#This Row],[release_date]])</f>
        <v>2020</v>
      </c>
      <c r="O87" t="str">
        <f t="shared" si="8"/>
        <v>Mid-range</v>
      </c>
      <c r="P87">
        <f t="shared" si="9"/>
        <v>664</v>
      </c>
      <c r="Q87" t="str">
        <f t="shared" si="10"/>
        <v>&gt;3.0 GHz</v>
      </c>
      <c r="R87" t="str">
        <f t="shared" si="11"/>
        <v>Low</v>
      </c>
    </row>
    <row r="88" spans="1:18" x14ac:dyDescent="0.3">
      <c r="A88">
        <v>107</v>
      </c>
      <c r="B88" t="s">
        <v>19</v>
      </c>
      <c r="C88" t="s">
        <v>192</v>
      </c>
      <c r="D88">
        <v>350</v>
      </c>
      <c r="E88">
        <v>1321</v>
      </c>
      <c r="F88">
        <v>192642</v>
      </c>
      <c r="G88">
        <v>8</v>
      </c>
      <c r="H88" t="s">
        <v>99</v>
      </c>
      <c r="I88">
        <v>1820</v>
      </c>
      <c r="J88" t="s">
        <v>193</v>
      </c>
      <c r="K88">
        <v>2020</v>
      </c>
      <c r="L88" s="1">
        <v>43831</v>
      </c>
      <c r="M88" t="str">
        <f>TRIM(Data_CPU[[#This Row],[cpuName]])</f>
        <v>Tiger T610</v>
      </c>
      <c r="N88">
        <f>YEAR(Data_CPU[[#This Row],[release_date]])</f>
        <v>2020</v>
      </c>
      <c r="O88" t="str">
        <f t="shared" si="8"/>
        <v>Mid-range</v>
      </c>
      <c r="P88">
        <f t="shared" si="9"/>
        <v>726</v>
      </c>
      <c r="Q88" t="str">
        <f t="shared" si="10"/>
        <v>&gt;3.0 GHz</v>
      </c>
      <c r="R88" t="str">
        <f t="shared" si="11"/>
        <v>Low</v>
      </c>
    </row>
    <row r="89" spans="1:18" x14ac:dyDescent="0.3">
      <c r="A89">
        <v>88</v>
      </c>
      <c r="B89" t="s">
        <v>16</v>
      </c>
      <c r="C89" t="s">
        <v>194</v>
      </c>
      <c r="D89">
        <v>343</v>
      </c>
      <c r="E89">
        <v>1320</v>
      </c>
      <c r="F89">
        <v>216423</v>
      </c>
      <c r="G89">
        <v>8</v>
      </c>
      <c r="H89" t="s">
        <v>99</v>
      </c>
      <c r="I89">
        <v>2000</v>
      </c>
      <c r="J89" t="s">
        <v>195</v>
      </c>
      <c r="K89">
        <v>2018</v>
      </c>
      <c r="L89" s="1">
        <v>43101</v>
      </c>
      <c r="M89" t="str">
        <f>TRIM(Data_CPU[[#This Row],[cpuName]])</f>
        <v>Snapdragon 670</v>
      </c>
      <c r="N89">
        <f>YEAR(Data_CPU[[#This Row],[release_date]])</f>
        <v>2018</v>
      </c>
      <c r="O89" t="str">
        <f t="shared" si="8"/>
        <v>Mid-range</v>
      </c>
      <c r="P89">
        <f t="shared" si="9"/>
        <v>660</v>
      </c>
      <c r="Q89" t="str">
        <f t="shared" si="10"/>
        <v>&gt;3.0 GHz</v>
      </c>
      <c r="R89" t="str">
        <f t="shared" si="11"/>
        <v>Low</v>
      </c>
    </row>
    <row r="90" spans="1:18" x14ac:dyDescent="0.3">
      <c r="A90">
        <v>105</v>
      </c>
      <c r="B90" t="s">
        <v>16</v>
      </c>
      <c r="C90" t="s">
        <v>196</v>
      </c>
      <c r="D90">
        <v>334</v>
      </c>
      <c r="E90">
        <v>1306</v>
      </c>
      <c r="F90">
        <v>207386</v>
      </c>
      <c r="G90">
        <v>8</v>
      </c>
      <c r="H90" t="s">
        <v>58</v>
      </c>
      <c r="I90">
        <v>2200</v>
      </c>
      <c r="J90" t="s">
        <v>197</v>
      </c>
      <c r="K90">
        <v>2017</v>
      </c>
      <c r="L90" s="1">
        <v>42736</v>
      </c>
      <c r="M90" t="str">
        <f>TRIM(Data_CPU[[#This Row],[cpuName]])</f>
        <v>Snapdragon 660</v>
      </c>
      <c r="N90">
        <f>YEAR(Data_CPU[[#This Row],[release_date]])</f>
        <v>2017</v>
      </c>
      <c r="O90" t="str">
        <f t="shared" si="8"/>
        <v>Mid-range</v>
      </c>
      <c r="P90">
        <f t="shared" si="9"/>
        <v>594</v>
      </c>
      <c r="Q90" t="str">
        <f t="shared" si="10"/>
        <v>&gt;3.0 GHz</v>
      </c>
      <c r="R90" t="str">
        <f t="shared" si="11"/>
        <v>Low</v>
      </c>
    </row>
    <row r="91" spans="1:18" x14ac:dyDescent="0.3">
      <c r="A91">
        <v>89</v>
      </c>
      <c r="B91" t="s">
        <v>17</v>
      </c>
      <c r="C91" t="s">
        <v>198</v>
      </c>
      <c r="D91">
        <v>367</v>
      </c>
      <c r="E91">
        <v>1304</v>
      </c>
      <c r="F91">
        <v>232038</v>
      </c>
      <c r="G91">
        <v>8</v>
      </c>
      <c r="H91" t="s">
        <v>58</v>
      </c>
      <c r="I91">
        <v>2300</v>
      </c>
      <c r="J91" t="s">
        <v>199</v>
      </c>
      <c r="K91">
        <v>2016</v>
      </c>
      <c r="L91" s="1">
        <v>42370</v>
      </c>
      <c r="M91" t="str">
        <f>TRIM(Data_CPU[[#This Row],[cpuName]])</f>
        <v>Exynos 8890</v>
      </c>
      <c r="N91">
        <f>YEAR(Data_CPU[[#This Row],[release_date]])</f>
        <v>2016</v>
      </c>
      <c r="O91" t="str">
        <f t="shared" si="8"/>
        <v>Mid-range</v>
      </c>
      <c r="P91">
        <f t="shared" si="9"/>
        <v>567</v>
      </c>
      <c r="Q91" t="str">
        <f t="shared" si="10"/>
        <v>&gt;3.0 GHz</v>
      </c>
      <c r="R91" t="str">
        <f t="shared" si="11"/>
        <v>Low</v>
      </c>
    </row>
    <row r="92" spans="1:18" x14ac:dyDescent="0.3">
      <c r="A92">
        <v>95</v>
      </c>
      <c r="B92" t="s">
        <v>14</v>
      </c>
      <c r="C92" t="s">
        <v>200</v>
      </c>
      <c r="D92">
        <v>391</v>
      </c>
      <c r="E92">
        <v>1300</v>
      </c>
      <c r="F92">
        <v>205296</v>
      </c>
      <c r="G92">
        <v>8</v>
      </c>
      <c r="H92" t="s">
        <v>99</v>
      </c>
      <c r="I92">
        <v>2000</v>
      </c>
      <c r="J92" t="s">
        <v>201</v>
      </c>
      <c r="K92">
        <v>2020</v>
      </c>
      <c r="L92" s="1">
        <v>43831</v>
      </c>
      <c r="M92" t="str">
        <f>TRIM(Data_CPU[[#This Row],[cpuName]])</f>
        <v>Helio G70</v>
      </c>
      <c r="N92">
        <f>YEAR(Data_CPU[[#This Row],[release_date]])</f>
        <v>2020</v>
      </c>
      <c r="O92" t="str">
        <f t="shared" si="8"/>
        <v>Mid-range</v>
      </c>
      <c r="P92">
        <f t="shared" si="9"/>
        <v>650</v>
      </c>
      <c r="Q92" t="str">
        <f t="shared" si="10"/>
        <v>&gt;3.0 GHz</v>
      </c>
      <c r="R92" t="str">
        <f t="shared" si="11"/>
        <v>Low</v>
      </c>
    </row>
    <row r="93" spans="1:18" x14ac:dyDescent="0.3">
      <c r="A93">
        <v>83</v>
      </c>
      <c r="B93" t="s">
        <v>14</v>
      </c>
      <c r="C93" t="s">
        <v>202</v>
      </c>
      <c r="D93">
        <v>350</v>
      </c>
      <c r="E93">
        <v>1285</v>
      </c>
      <c r="F93">
        <v>230017</v>
      </c>
      <c r="G93">
        <v>8</v>
      </c>
      <c r="H93" t="s">
        <v>99</v>
      </c>
      <c r="I93">
        <v>2000</v>
      </c>
      <c r="J93" t="s">
        <v>203</v>
      </c>
      <c r="K93">
        <v>2020</v>
      </c>
      <c r="L93" s="1">
        <v>43831</v>
      </c>
      <c r="M93" t="str">
        <f>TRIM(Data_CPU[[#This Row],[cpuName]])</f>
        <v>Helio G80</v>
      </c>
      <c r="N93">
        <f>YEAR(Data_CPU[[#This Row],[release_date]])</f>
        <v>2020</v>
      </c>
      <c r="O93" t="str">
        <f t="shared" si="8"/>
        <v>Mid-range</v>
      </c>
      <c r="P93">
        <f t="shared" si="9"/>
        <v>643</v>
      </c>
      <c r="Q93" t="str">
        <f t="shared" si="10"/>
        <v>&gt;3.0 GHz</v>
      </c>
      <c r="R93" t="str">
        <f t="shared" si="11"/>
        <v>Low</v>
      </c>
    </row>
    <row r="94" spans="1:18" x14ac:dyDescent="0.3">
      <c r="A94">
        <v>91</v>
      </c>
      <c r="B94" t="s">
        <v>19</v>
      </c>
      <c r="C94" t="s">
        <v>204</v>
      </c>
      <c r="D94">
        <v>350</v>
      </c>
      <c r="E94">
        <v>1281</v>
      </c>
      <c r="F94">
        <v>218848</v>
      </c>
      <c r="G94">
        <v>8</v>
      </c>
      <c r="H94" t="s">
        <v>99</v>
      </c>
      <c r="I94">
        <v>1800</v>
      </c>
      <c r="J94" t="s">
        <v>205</v>
      </c>
      <c r="K94">
        <v>2020</v>
      </c>
      <c r="L94" s="1">
        <v>43831</v>
      </c>
      <c r="M94" t="str">
        <f>TRIM(Data_CPU[[#This Row],[cpuName]])</f>
        <v>Tiger T700</v>
      </c>
      <c r="N94">
        <f>YEAR(Data_CPU[[#This Row],[release_date]])</f>
        <v>2020</v>
      </c>
      <c r="O94" t="str">
        <f t="shared" si="8"/>
        <v>Mid-range</v>
      </c>
      <c r="P94">
        <f t="shared" si="9"/>
        <v>712</v>
      </c>
      <c r="Q94" t="str">
        <f t="shared" si="10"/>
        <v>&gt;3.0 GHz</v>
      </c>
      <c r="R94" t="str">
        <f t="shared" si="11"/>
        <v>Low</v>
      </c>
    </row>
    <row r="95" spans="1:18" x14ac:dyDescent="0.3">
      <c r="A95">
        <v>101</v>
      </c>
      <c r="B95" t="s">
        <v>14</v>
      </c>
      <c r="C95" t="s">
        <v>206</v>
      </c>
      <c r="D95">
        <v>352</v>
      </c>
      <c r="E95">
        <v>1274</v>
      </c>
      <c r="F95">
        <v>196163</v>
      </c>
      <c r="G95">
        <v>8</v>
      </c>
      <c r="H95" t="s">
        <v>99</v>
      </c>
      <c r="I95">
        <v>2000</v>
      </c>
      <c r="J95" t="s">
        <v>207</v>
      </c>
      <c r="K95">
        <v>2019</v>
      </c>
      <c r="L95" s="1">
        <v>43466</v>
      </c>
      <c r="M95" t="str">
        <f>TRIM(Data_CPU[[#This Row],[cpuName]])</f>
        <v>Helio P65</v>
      </c>
      <c r="N95">
        <f>YEAR(Data_CPU[[#This Row],[release_date]])</f>
        <v>2019</v>
      </c>
      <c r="O95" t="str">
        <f t="shared" si="8"/>
        <v>Mid-range</v>
      </c>
      <c r="P95">
        <f t="shared" si="9"/>
        <v>637</v>
      </c>
      <c r="Q95" t="str">
        <f t="shared" si="10"/>
        <v>&gt;3.0 GHz</v>
      </c>
      <c r="R95" t="str">
        <f t="shared" si="11"/>
        <v>Low</v>
      </c>
    </row>
    <row r="96" spans="1:18" x14ac:dyDescent="0.3">
      <c r="A96">
        <v>103</v>
      </c>
      <c r="B96" t="s">
        <v>12</v>
      </c>
      <c r="C96" t="s">
        <v>208</v>
      </c>
      <c r="D96">
        <v>326</v>
      </c>
      <c r="E96">
        <v>1271</v>
      </c>
      <c r="F96">
        <v>195439</v>
      </c>
      <c r="G96">
        <v>8</v>
      </c>
      <c r="H96" t="s">
        <v>58</v>
      </c>
      <c r="I96">
        <v>2200</v>
      </c>
      <c r="J96" t="s">
        <v>189</v>
      </c>
      <c r="K96">
        <v>2018</v>
      </c>
      <c r="L96" s="1">
        <v>43101</v>
      </c>
      <c r="M96" t="str">
        <f>TRIM(Data_CPU[[#This Row],[cpuName]])</f>
        <v>Kirin 710</v>
      </c>
      <c r="N96">
        <f>YEAR(Data_CPU[[#This Row],[release_date]])</f>
        <v>2018</v>
      </c>
      <c r="O96" t="str">
        <f t="shared" si="8"/>
        <v>Mid-range</v>
      </c>
      <c r="P96">
        <f t="shared" si="9"/>
        <v>578</v>
      </c>
      <c r="Q96" t="str">
        <f t="shared" si="10"/>
        <v>&gt;3.0 GHz</v>
      </c>
      <c r="R96" t="str">
        <f t="shared" si="11"/>
        <v>Low</v>
      </c>
    </row>
    <row r="97" spans="1:18" x14ac:dyDescent="0.3">
      <c r="A97">
        <v>85</v>
      </c>
      <c r="B97" t="s">
        <v>14</v>
      </c>
      <c r="C97" t="s">
        <v>209</v>
      </c>
      <c r="D97">
        <v>358</v>
      </c>
      <c r="E97">
        <v>1268</v>
      </c>
      <c r="F97">
        <v>228942</v>
      </c>
      <c r="G97">
        <v>8</v>
      </c>
      <c r="H97" t="s">
        <v>99</v>
      </c>
      <c r="I97">
        <v>2000</v>
      </c>
      <c r="J97" t="s">
        <v>203</v>
      </c>
      <c r="K97">
        <v>2020</v>
      </c>
      <c r="L97" s="1">
        <v>43831</v>
      </c>
      <c r="M97" t="str">
        <f>TRIM(Data_CPU[[#This Row],[cpuName]])</f>
        <v>Helio G85</v>
      </c>
      <c r="N97">
        <f>YEAR(Data_CPU[[#This Row],[release_date]])</f>
        <v>2020</v>
      </c>
      <c r="O97" t="str">
        <f t="shared" si="8"/>
        <v>Mid-range</v>
      </c>
      <c r="P97">
        <f t="shared" si="9"/>
        <v>634</v>
      </c>
      <c r="Q97" t="str">
        <f t="shared" si="10"/>
        <v>&gt;3.0 GHz</v>
      </c>
      <c r="R97" t="str">
        <f t="shared" si="11"/>
        <v>Low</v>
      </c>
    </row>
    <row r="98" spans="1:18" x14ac:dyDescent="0.3">
      <c r="A98">
        <v>114</v>
      </c>
      <c r="B98" t="s">
        <v>12</v>
      </c>
      <c r="C98" t="s">
        <v>210</v>
      </c>
      <c r="D98">
        <v>336</v>
      </c>
      <c r="E98">
        <v>1267</v>
      </c>
      <c r="F98">
        <v>134777</v>
      </c>
      <c r="G98">
        <v>8</v>
      </c>
      <c r="H98" t="s">
        <v>58</v>
      </c>
      <c r="I98">
        <v>2400</v>
      </c>
      <c r="J98" t="s">
        <v>211</v>
      </c>
      <c r="K98">
        <v>2015</v>
      </c>
      <c r="L98" s="1">
        <v>42005</v>
      </c>
      <c r="M98" t="str">
        <f>TRIM(Data_CPU[[#This Row],[cpuName]])</f>
        <v>Kirin 950</v>
      </c>
      <c r="N98">
        <f>YEAR(Data_CPU[[#This Row],[release_date]])</f>
        <v>2015</v>
      </c>
      <c r="O98" t="str">
        <f t="shared" ref="O98:O126" si="12">IF(E98&gt;=3000,"Flagship",IF(E98&gt;=2000,"High-end",IF(E98&gt;=1000,"Mid-range","Entry")))</f>
        <v>Mid-range</v>
      </c>
      <c r="P98">
        <f t="shared" ref="P98:P126" si="13">ROUND(E98/(I98/1000),0)</f>
        <v>528</v>
      </c>
      <c r="Q98" t="str">
        <f t="shared" ref="Q98:Q126" si="14">IF(H98&gt;3000,"&gt;3.0 GHz",IF(H98&gt;2500,"2.5-3.0 GHz",IF(H98&gt;2000,"2.0-2.5 GHz","≤2.0 GHz")))</f>
        <v>&gt;3.0 GHz</v>
      </c>
      <c r="R98" t="str">
        <f t="shared" ref="R98:R126" si="15">IF(F98&gt;=800000,"Ultra",IF(F98&gt;=600000,"High",IF(F98&gt;=300000,"Mid","Low")))</f>
        <v>Low</v>
      </c>
    </row>
    <row r="99" spans="1:18" x14ac:dyDescent="0.3">
      <c r="A99">
        <v>82</v>
      </c>
      <c r="B99" t="s">
        <v>14</v>
      </c>
      <c r="C99" t="s">
        <v>212</v>
      </c>
      <c r="D99">
        <v>362</v>
      </c>
      <c r="E99">
        <v>1260</v>
      </c>
      <c r="F99">
        <v>230129</v>
      </c>
      <c r="G99">
        <v>8</v>
      </c>
      <c r="H99" t="s">
        <v>99</v>
      </c>
      <c r="I99">
        <v>2000</v>
      </c>
      <c r="J99" t="s">
        <v>207</v>
      </c>
      <c r="K99">
        <v>2021</v>
      </c>
      <c r="L99" s="1">
        <v>44197</v>
      </c>
      <c r="M99" t="str">
        <f>TRIM(Data_CPU[[#This Row],[cpuName]])</f>
        <v>Helio G88</v>
      </c>
      <c r="N99">
        <f>YEAR(Data_CPU[[#This Row],[release_date]])</f>
        <v>2021</v>
      </c>
      <c r="O99" t="str">
        <f t="shared" si="12"/>
        <v>Mid-range</v>
      </c>
      <c r="P99">
        <f t="shared" si="13"/>
        <v>630</v>
      </c>
      <c r="Q99" t="str">
        <f t="shared" si="14"/>
        <v>&gt;3.0 GHz</v>
      </c>
      <c r="R99" t="str">
        <f t="shared" si="15"/>
        <v>Low</v>
      </c>
    </row>
    <row r="100" spans="1:18" x14ac:dyDescent="0.3">
      <c r="A100">
        <v>87</v>
      </c>
      <c r="B100" t="s">
        <v>17</v>
      </c>
      <c r="C100" t="s">
        <v>213</v>
      </c>
      <c r="D100">
        <v>329</v>
      </c>
      <c r="E100">
        <v>1253</v>
      </c>
      <c r="F100">
        <v>211472</v>
      </c>
      <c r="G100">
        <v>8</v>
      </c>
      <c r="H100" t="s">
        <v>58</v>
      </c>
      <c r="I100">
        <v>2200</v>
      </c>
      <c r="J100" t="s">
        <v>180</v>
      </c>
      <c r="K100">
        <v>2018</v>
      </c>
      <c r="L100" s="1">
        <v>43101</v>
      </c>
      <c r="M100" t="str">
        <f>TRIM(Data_CPU[[#This Row],[cpuName]])</f>
        <v>Exynos 9609</v>
      </c>
      <c r="N100">
        <f>YEAR(Data_CPU[[#This Row],[release_date]])</f>
        <v>2018</v>
      </c>
      <c r="O100" t="str">
        <f t="shared" si="12"/>
        <v>Mid-range</v>
      </c>
      <c r="P100">
        <f t="shared" si="13"/>
        <v>570</v>
      </c>
      <c r="Q100" t="str">
        <f t="shared" si="14"/>
        <v>&gt;3.0 GHz</v>
      </c>
      <c r="R100" t="str">
        <f t="shared" si="15"/>
        <v>Low</v>
      </c>
    </row>
    <row r="101" spans="1:18" x14ac:dyDescent="0.3">
      <c r="A101">
        <v>86</v>
      </c>
      <c r="B101" t="s">
        <v>17</v>
      </c>
      <c r="C101" t="s">
        <v>214</v>
      </c>
      <c r="D101">
        <v>323</v>
      </c>
      <c r="E101">
        <v>1203</v>
      </c>
      <c r="F101">
        <v>228280</v>
      </c>
      <c r="G101">
        <v>8</v>
      </c>
      <c r="H101" t="s">
        <v>58</v>
      </c>
      <c r="I101">
        <v>2300</v>
      </c>
      <c r="J101" t="s">
        <v>180</v>
      </c>
      <c r="K101">
        <v>2019</v>
      </c>
      <c r="L101" s="1">
        <v>43466</v>
      </c>
      <c r="M101" t="str">
        <f>TRIM(Data_CPU[[#This Row],[cpuName]])</f>
        <v>Exynos 9611</v>
      </c>
      <c r="N101">
        <f>YEAR(Data_CPU[[#This Row],[release_date]])</f>
        <v>2019</v>
      </c>
      <c r="O101" t="str">
        <f t="shared" si="12"/>
        <v>Mid-range</v>
      </c>
      <c r="P101">
        <f t="shared" si="13"/>
        <v>523</v>
      </c>
      <c r="Q101" t="str">
        <f t="shared" si="14"/>
        <v>&gt;3.0 GHz</v>
      </c>
      <c r="R101" t="str">
        <f t="shared" si="15"/>
        <v>Low</v>
      </c>
    </row>
    <row r="102" spans="1:18" x14ac:dyDescent="0.3">
      <c r="A102">
        <v>106</v>
      </c>
      <c r="B102" t="s">
        <v>19</v>
      </c>
      <c r="C102" t="s">
        <v>215</v>
      </c>
      <c r="D102">
        <v>311</v>
      </c>
      <c r="E102">
        <v>1171</v>
      </c>
      <c r="F102">
        <v>178069</v>
      </c>
      <c r="G102">
        <v>8</v>
      </c>
      <c r="H102" t="s">
        <v>99</v>
      </c>
      <c r="I102">
        <v>1600</v>
      </c>
      <c r="J102" t="s">
        <v>183</v>
      </c>
      <c r="K102">
        <v>2021</v>
      </c>
      <c r="L102" s="1">
        <v>44197</v>
      </c>
      <c r="M102" t="str">
        <f>TRIM(Data_CPU[[#This Row],[cpuName]])</f>
        <v>Unisoc T606</v>
      </c>
      <c r="N102">
        <f>YEAR(Data_CPU[[#This Row],[release_date]])</f>
        <v>2021</v>
      </c>
      <c r="O102" t="str">
        <f t="shared" si="12"/>
        <v>Mid-range</v>
      </c>
      <c r="P102">
        <f t="shared" si="13"/>
        <v>732</v>
      </c>
      <c r="Q102" t="str">
        <f t="shared" si="14"/>
        <v>&gt;3.0 GHz</v>
      </c>
      <c r="R102" t="str">
        <f t="shared" si="15"/>
        <v>Low</v>
      </c>
    </row>
    <row r="103" spans="1:18" x14ac:dyDescent="0.3">
      <c r="A103">
        <v>98</v>
      </c>
      <c r="B103" t="s">
        <v>12</v>
      </c>
      <c r="C103" t="s">
        <v>216</v>
      </c>
      <c r="D103">
        <v>318</v>
      </c>
      <c r="E103">
        <v>1145</v>
      </c>
      <c r="F103">
        <v>196708</v>
      </c>
      <c r="G103">
        <v>8</v>
      </c>
      <c r="H103" t="s">
        <v>58</v>
      </c>
      <c r="I103">
        <v>2000</v>
      </c>
      <c r="J103" t="s">
        <v>217</v>
      </c>
      <c r="K103">
        <v>2020</v>
      </c>
      <c r="L103" s="1">
        <v>43831</v>
      </c>
      <c r="M103" t="str">
        <f>TRIM(Data_CPU[[#This Row],[cpuName]])</f>
        <v>Kirin 710A</v>
      </c>
      <c r="N103">
        <f>YEAR(Data_CPU[[#This Row],[release_date]])</f>
        <v>2020</v>
      </c>
      <c r="O103" t="str">
        <f t="shared" si="12"/>
        <v>Mid-range</v>
      </c>
      <c r="P103">
        <f t="shared" si="13"/>
        <v>573</v>
      </c>
      <c r="Q103" t="str">
        <f t="shared" si="14"/>
        <v>&gt;3.0 GHz</v>
      </c>
      <c r="R103" t="str">
        <f t="shared" si="15"/>
        <v>Low</v>
      </c>
    </row>
    <row r="104" spans="1:18" x14ac:dyDescent="0.3">
      <c r="A104">
        <v>100</v>
      </c>
      <c r="B104" t="s">
        <v>16</v>
      </c>
      <c r="C104" t="s">
        <v>218</v>
      </c>
      <c r="D104">
        <v>253</v>
      </c>
      <c r="E104">
        <v>1144</v>
      </c>
      <c r="F104">
        <v>161885</v>
      </c>
      <c r="G104">
        <v>8</v>
      </c>
      <c r="H104" t="s">
        <v>58</v>
      </c>
      <c r="I104">
        <v>1800</v>
      </c>
      <c r="J104" t="s">
        <v>167</v>
      </c>
      <c r="K104">
        <v>2020</v>
      </c>
      <c r="L104" s="1">
        <v>43831</v>
      </c>
      <c r="M104" t="str">
        <f>TRIM(Data_CPU[[#This Row],[cpuName]])</f>
        <v>Snapdragon 460</v>
      </c>
      <c r="N104">
        <f>YEAR(Data_CPU[[#This Row],[release_date]])</f>
        <v>2020</v>
      </c>
      <c r="O104" t="str">
        <f t="shared" si="12"/>
        <v>Mid-range</v>
      </c>
      <c r="P104">
        <f t="shared" si="13"/>
        <v>636</v>
      </c>
      <c r="Q104" t="str">
        <f t="shared" si="14"/>
        <v>&gt;3.0 GHz</v>
      </c>
      <c r="R104" t="str">
        <f t="shared" si="15"/>
        <v>Low</v>
      </c>
    </row>
    <row r="105" spans="1:18" x14ac:dyDescent="0.3">
      <c r="A105">
        <v>97</v>
      </c>
      <c r="B105" t="s">
        <v>17</v>
      </c>
      <c r="C105" t="s">
        <v>219</v>
      </c>
      <c r="D105">
        <v>338</v>
      </c>
      <c r="E105">
        <v>1139</v>
      </c>
      <c r="F105">
        <v>203208</v>
      </c>
      <c r="G105">
        <v>8</v>
      </c>
      <c r="H105" t="s">
        <v>58</v>
      </c>
      <c r="I105">
        <v>2300</v>
      </c>
      <c r="J105" t="s">
        <v>180</v>
      </c>
      <c r="K105">
        <v>2018</v>
      </c>
      <c r="L105" s="1">
        <v>43101</v>
      </c>
      <c r="M105" t="str">
        <f>TRIM(Data_CPU[[#This Row],[cpuName]])</f>
        <v>Exynos 9610</v>
      </c>
      <c r="N105">
        <f>YEAR(Data_CPU[[#This Row],[release_date]])</f>
        <v>2018</v>
      </c>
      <c r="O105" t="str">
        <f t="shared" si="12"/>
        <v>Mid-range</v>
      </c>
      <c r="P105">
        <f t="shared" si="13"/>
        <v>495</v>
      </c>
      <c r="Q105" t="str">
        <f t="shared" si="14"/>
        <v>&gt;3.0 GHz</v>
      </c>
      <c r="R105" t="str">
        <f t="shared" si="15"/>
        <v>Low</v>
      </c>
    </row>
    <row r="106" spans="1:18" x14ac:dyDescent="0.3">
      <c r="A106">
        <v>108</v>
      </c>
      <c r="B106" t="s">
        <v>14</v>
      </c>
      <c r="C106" t="s">
        <v>220</v>
      </c>
      <c r="D106">
        <v>272</v>
      </c>
      <c r="E106">
        <v>1121</v>
      </c>
      <c r="F106">
        <v>185821</v>
      </c>
      <c r="G106">
        <v>8</v>
      </c>
      <c r="H106" t="s">
        <v>58</v>
      </c>
      <c r="I106">
        <v>2000</v>
      </c>
      <c r="J106" t="s">
        <v>180</v>
      </c>
      <c r="K106">
        <v>2018</v>
      </c>
      <c r="L106" s="1">
        <v>43101</v>
      </c>
      <c r="M106" t="str">
        <f>TRIM(Data_CPU[[#This Row],[cpuName]])</f>
        <v>Helio P60</v>
      </c>
      <c r="N106">
        <f>YEAR(Data_CPU[[#This Row],[release_date]])</f>
        <v>2018</v>
      </c>
      <c r="O106" t="str">
        <f t="shared" si="12"/>
        <v>Mid-range</v>
      </c>
      <c r="P106">
        <f t="shared" si="13"/>
        <v>561</v>
      </c>
      <c r="Q106" t="str">
        <f t="shared" si="14"/>
        <v>&gt;3.0 GHz</v>
      </c>
      <c r="R106" t="str">
        <f t="shared" si="15"/>
        <v>Low</v>
      </c>
    </row>
    <row r="107" spans="1:18" x14ac:dyDescent="0.3">
      <c r="A107">
        <v>110</v>
      </c>
      <c r="B107" t="s">
        <v>16</v>
      </c>
      <c r="C107" t="s">
        <v>221</v>
      </c>
      <c r="D107">
        <v>274</v>
      </c>
      <c r="E107">
        <v>1120</v>
      </c>
      <c r="F107">
        <v>171003</v>
      </c>
      <c r="G107">
        <v>8</v>
      </c>
      <c r="H107" t="s">
        <v>58</v>
      </c>
      <c r="I107">
        <v>1800</v>
      </c>
      <c r="J107" t="s">
        <v>222</v>
      </c>
      <c r="K107">
        <v>2017</v>
      </c>
      <c r="L107" s="1">
        <v>42736</v>
      </c>
      <c r="M107" t="str">
        <f>TRIM(Data_CPU[[#This Row],[cpuName]])</f>
        <v>Snapdragon 636</v>
      </c>
      <c r="N107">
        <f>YEAR(Data_CPU[[#This Row],[release_date]])</f>
        <v>2017</v>
      </c>
      <c r="O107" t="str">
        <f t="shared" si="12"/>
        <v>Mid-range</v>
      </c>
      <c r="P107">
        <f t="shared" si="13"/>
        <v>622</v>
      </c>
      <c r="Q107" t="str">
        <f t="shared" si="14"/>
        <v>&gt;3.0 GHz</v>
      </c>
      <c r="R107" t="str">
        <f t="shared" si="15"/>
        <v>Low</v>
      </c>
    </row>
    <row r="108" spans="1:18" x14ac:dyDescent="0.3">
      <c r="A108">
        <v>120</v>
      </c>
      <c r="B108" t="s">
        <v>12</v>
      </c>
      <c r="C108" t="s">
        <v>223</v>
      </c>
      <c r="D108">
        <v>340</v>
      </c>
      <c r="E108">
        <v>1086</v>
      </c>
      <c r="F108">
        <v>139287</v>
      </c>
      <c r="G108">
        <v>8</v>
      </c>
      <c r="H108" t="s">
        <v>58</v>
      </c>
      <c r="I108">
        <v>2500</v>
      </c>
      <c r="J108" t="s">
        <v>224</v>
      </c>
      <c r="K108">
        <v>2016</v>
      </c>
      <c r="L108" s="1">
        <v>42370</v>
      </c>
      <c r="M108" t="str">
        <f>TRIM(Data_CPU[[#This Row],[cpuName]])</f>
        <v>Kirin 955</v>
      </c>
      <c r="N108">
        <f>YEAR(Data_CPU[[#This Row],[release_date]])</f>
        <v>2016</v>
      </c>
      <c r="O108" t="str">
        <f t="shared" si="12"/>
        <v>Mid-range</v>
      </c>
      <c r="P108">
        <f t="shared" si="13"/>
        <v>434</v>
      </c>
      <c r="Q108" t="str">
        <f t="shared" si="14"/>
        <v>&gt;3.0 GHz</v>
      </c>
      <c r="R108" t="str">
        <f t="shared" si="15"/>
        <v>Low</v>
      </c>
    </row>
    <row r="109" spans="1:18" x14ac:dyDescent="0.3">
      <c r="A109">
        <v>111</v>
      </c>
      <c r="B109" t="s">
        <v>16</v>
      </c>
      <c r="C109" t="s">
        <v>225</v>
      </c>
      <c r="D109">
        <v>263</v>
      </c>
      <c r="E109">
        <v>1042</v>
      </c>
      <c r="F109">
        <v>147457</v>
      </c>
      <c r="G109">
        <v>8</v>
      </c>
      <c r="H109" t="s">
        <v>58</v>
      </c>
      <c r="I109">
        <v>1800</v>
      </c>
      <c r="J109" t="s">
        <v>226</v>
      </c>
      <c r="K109">
        <v>2018</v>
      </c>
      <c r="L109" s="1">
        <v>43101</v>
      </c>
      <c r="M109" t="str">
        <f>TRIM(Data_CPU[[#This Row],[cpuName]])</f>
        <v>Snapdragon 632</v>
      </c>
      <c r="N109">
        <f>YEAR(Data_CPU[[#This Row],[release_date]])</f>
        <v>2018</v>
      </c>
      <c r="O109" t="str">
        <f t="shared" si="12"/>
        <v>Mid-range</v>
      </c>
      <c r="P109">
        <f t="shared" si="13"/>
        <v>579</v>
      </c>
      <c r="Q109" t="str">
        <f t="shared" si="14"/>
        <v>&gt;3.0 GHz</v>
      </c>
      <c r="R109" t="str">
        <f t="shared" si="15"/>
        <v>Low</v>
      </c>
    </row>
    <row r="110" spans="1:18" x14ac:dyDescent="0.3">
      <c r="A110">
        <v>113</v>
      </c>
      <c r="B110" t="s">
        <v>17</v>
      </c>
      <c r="C110" t="s">
        <v>227</v>
      </c>
      <c r="D110">
        <v>317</v>
      </c>
      <c r="E110">
        <v>1033</v>
      </c>
      <c r="F110">
        <v>160366</v>
      </c>
      <c r="G110">
        <v>8</v>
      </c>
      <c r="H110" t="s">
        <v>99</v>
      </c>
      <c r="I110">
        <v>2200</v>
      </c>
      <c r="J110" t="s">
        <v>228</v>
      </c>
      <c r="K110">
        <v>2018</v>
      </c>
      <c r="L110" s="1">
        <v>43101</v>
      </c>
      <c r="M110" t="str">
        <f>TRIM(Data_CPU[[#This Row],[cpuName]])</f>
        <v>Exynos 7885</v>
      </c>
      <c r="N110">
        <f>YEAR(Data_CPU[[#This Row],[release_date]])</f>
        <v>2018</v>
      </c>
      <c r="O110" t="str">
        <f t="shared" si="12"/>
        <v>Mid-range</v>
      </c>
      <c r="P110">
        <f t="shared" si="13"/>
        <v>470</v>
      </c>
      <c r="Q110" t="str">
        <f t="shared" si="14"/>
        <v>&gt;3.0 GHz</v>
      </c>
      <c r="R110" t="str">
        <f t="shared" si="15"/>
        <v>Low</v>
      </c>
    </row>
    <row r="111" spans="1:18" x14ac:dyDescent="0.3">
      <c r="A111">
        <v>109</v>
      </c>
      <c r="B111" t="s">
        <v>17</v>
      </c>
      <c r="C111" t="s">
        <v>229</v>
      </c>
      <c r="D111">
        <v>271</v>
      </c>
      <c r="E111">
        <v>1006</v>
      </c>
      <c r="F111">
        <v>149013</v>
      </c>
      <c r="G111">
        <v>8</v>
      </c>
      <c r="H111" t="s">
        <v>99</v>
      </c>
      <c r="I111">
        <v>1800</v>
      </c>
      <c r="J111" t="s">
        <v>228</v>
      </c>
      <c r="K111">
        <v>2019</v>
      </c>
      <c r="L111" s="1">
        <v>43466</v>
      </c>
      <c r="M111" t="str">
        <f>TRIM(Data_CPU[[#This Row],[cpuName]])</f>
        <v>Exynos 7904</v>
      </c>
      <c r="N111">
        <f>YEAR(Data_CPU[[#This Row],[release_date]])</f>
        <v>2019</v>
      </c>
      <c r="O111" t="str">
        <f t="shared" si="12"/>
        <v>Mid-range</v>
      </c>
      <c r="P111">
        <f t="shared" si="13"/>
        <v>559</v>
      </c>
      <c r="Q111" t="str">
        <f t="shared" si="14"/>
        <v>&gt;3.0 GHz</v>
      </c>
      <c r="R111" t="str">
        <f t="shared" si="15"/>
        <v>Low</v>
      </c>
    </row>
    <row r="112" spans="1:18" x14ac:dyDescent="0.3">
      <c r="A112">
        <v>118</v>
      </c>
      <c r="B112" t="s">
        <v>16</v>
      </c>
      <c r="C112" t="s">
        <v>230</v>
      </c>
      <c r="D112">
        <v>173</v>
      </c>
      <c r="E112">
        <v>977</v>
      </c>
      <c r="F112">
        <v>133070</v>
      </c>
      <c r="G112">
        <v>8</v>
      </c>
      <c r="H112" t="s">
        <v>58</v>
      </c>
      <c r="I112">
        <v>2200</v>
      </c>
      <c r="J112" t="s">
        <v>231</v>
      </c>
      <c r="K112">
        <v>2017</v>
      </c>
      <c r="L112" s="1">
        <v>42736</v>
      </c>
      <c r="M112" t="str">
        <f>TRIM(Data_CPU[[#This Row],[cpuName]])</f>
        <v>Snapdragon 630</v>
      </c>
      <c r="N112">
        <f>YEAR(Data_CPU[[#This Row],[release_date]])</f>
        <v>2017</v>
      </c>
      <c r="O112" t="str">
        <f t="shared" si="12"/>
        <v>Entry</v>
      </c>
      <c r="P112">
        <f t="shared" si="13"/>
        <v>444</v>
      </c>
      <c r="Q112" t="str">
        <f t="shared" si="14"/>
        <v>&gt;3.0 GHz</v>
      </c>
      <c r="R112" t="str">
        <f t="shared" si="15"/>
        <v>Low</v>
      </c>
    </row>
    <row r="113" spans="1:18" x14ac:dyDescent="0.3">
      <c r="A113">
        <v>93</v>
      </c>
      <c r="B113" t="s">
        <v>7</v>
      </c>
      <c r="C113" t="s">
        <v>232</v>
      </c>
      <c r="D113">
        <v>526</v>
      </c>
      <c r="E113">
        <v>968</v>
      </c>
      <c r="F113">
        <v>204422</v>
      </c>
      <c r="G113">
        <v>2</v>
      </c>
      <c r="H113" t="s">
        <v>233</v>
      </c>
      <c r="I113">
        <v>1850</v>
      </c>
      <c r="J113" t="s">
        <v>178</v>
      </c>
      <c r="K113">
        <v>2015</v>
      </c>
      <c r="L113" s="1">
        <v>42005</v>
      </c>
      <c r="M113" t="str">
        <f>TRIM(Data_CPU[[#This Row],[cpuName]])</f>
        <v>Apple A9</v>
      </c>
      <c r="N113">
        <f>YEAR(Data_CPU[[#This Row],[release_date]])</f>
        <v>2015</v>
      </c>
      <c r="O113" t="str">
        <f t="shared" si="12"/>
        <v>Entry</v>
      </c>
      <c r="P113">
        <f t="shared" si="13"/>
        <v>523</v>
      </c>
      <c r="Q113" t="str">
        <f t="shared" si="14"/>
        <v>&gt;3.0 GHz</v>
      </c>
      <c r="R113" t="str">
        <f t="shared" si="15"/>
        <v>Low</v>
      </c>
    </row>
    <row r="114" spans="1:18" x14ac:dyDescent="0.3">
      <c r="A114">
        <v>115</v>
      </c>
      <c r="B114" t="s">
        <v>14</v>
      </c>
      <c r="C114" t="s">
        <v>234</v>
      </c>
      <c r="D114">
        <v>169</v>
      </c>
      <c r="E114">
        <v>965</v>
      </c>
      <c r="F114">
        <v>99442</v>
      </c>
      <c r="G114">
        <v>8</v>
      </c>
      <c r="H114" t="s">
        <v>58</v>
      </c>
      <c r="I114">
        <v>2300</v>
      </c>
      <c r="J114" t="s">
        <v>235</v>
      </c>
      <c r="K114">
        <v>2019</v>
      </c>
      <c r="L114" s="1">
        <v>43466</v>
      </c>
      <c r="M114" t="str">
        <f>TRIM(Data_CPU[[#This Row],[cpuName]])</f>
        <v>Helio P35</v>
      </c>
      <c r="N114">
        <f>YEAR(Data_CPU[[#This Row],[release_date]])</f>
        <v>2019</v>
      </c>
      <c r="O114" t="str">
        <f t="shared" si="12"/>
        <v>Entry</v>
      </c>
      <c r="P114">
        <f t="shared" si="13"/>
        <v>420</v>
      </c>
      <c r="Q114" t="str">
        <f t="shared" si="14"/>
        <v>&gt;3.0 GHz</v>
      </c>
      <c r="R114" t="str">
        <f t="shared" si="15"/>
        <v>Low</v>
      </c>
    </row>
    <row r="115" spans="1:18" x14ac:dyDescent="0.3">
      <c r="A115">
        <v>99</v>
      </c>
      <c r="B115" t="s">
        <v>17</v>
      </c>
      <c r="C115" t="s">
        <v>236</v>
      </c>
      <c r="D115">
        <v>160</v>
      </c>
      <c r="E115">
        <v>941</v>
      </c>
      <c r="F115">
        <v>143063</v>
      </c>
      <c r="G115">
        <v>8</v>
      </c>
      <c r="H115" t="s">
        <v>237</v>
      </c>
      <c r="I115">
        <v>2000</v>
      </c>
      <c r="J115" t="s">
        <v>238</v>
      </c>
      <c r="K115">
        <v>2020</v>
      </c>
      <c r="L115" s="1">
        <v>43831</v>
      </c>
      <c r="M115" t="str">
        <f>TRIM(Data_CPU[[#This Row],[cpuName]])</f>
        <v>Exynos 850</v>
      </c>
      <c r="N115">
        <f>YEAR(Data_CPU[[#This Row],[release_date]])</f>
        <v>2020</v>
      </c>
      <c r="O115" t="str">
        <f t="shared" si="12"/>
        <v>Entry</v>
      </c>
      <c r="P115">
        <f t="shared" si="13"/>
        <v>471</v>
      </c>
      <c r="Q115" t="str">
        <f t="shared" si="14"/>
        <v>&gt;3.0 GHz</v>
      </c>
      <c r="R115" t="str">
        <f t="shared" si="15"/>
        <v>Low</v>
      </c>
    </row>
    <row r="116" spans="1:18" x14ac:dyDescent="0.3">
      <c r="A116">
        <v>122</v>
      </c>
      <c r="B116" t="s">
        <v>17</v>
      </c>
      <c r="C116" t="s">
        <v>239</v>
      </c>
      <c r="D116">
        <v>246</v>
      </c>
      <c r="E116">
        <v>894</v>
      </c>
      <c r="F116">
        <v>103821</v>
      </c>
      <c r="G116">
        <v>8</v>
      </c>
      <c r="H116" t="s">
        <v>99</v>
      </c>
      <c r="I116">
        <v>1560</v>
      </c>
      <c r="J116" t="s">
        <v>228</v>
      </c>
      <c r="K116">
        <v>2018</v>
      </c>
      <c r="L116" s="1">
        <v>43101</v>
      </c>
      <c r="M116" t="str">
        <f>TRIM(Data_CPU[[#This Row],[cpuName]])</f>
        <v>Exynos 7884B</v>
      </c>
      <c r="N116">
        <f>YEAR(Data_CPU[[#This Row],[release_date]])</f>
        <v>2018</v>
      </c>
      <c r="O116" t="str">
        <f t="shared" si="12"/>
        <v>Entry</v>
      </c>
      <c r="P116">
        <f t="shared" si="13"/>
        <v>573</v>
      </c>
      <c r="Q116" t="str">
        <f t="shared" si="14"/>
        <v>&gt;3.0 GHz</v>
      </c>
      <c r="R116" t="str">
        <f t="shared" si="15"/>
        <v>Low</v>
      </c>
    </row>
    <row r="117" spans="1:18" x14ac:dyDescent="0.3">
      <c r="A117">
        <v>123</v>
      </c>
      <c r="B117" t="s">
        <v>12</v>
      </c>
      <c r="C117" t="s">
        <v>240</v>
      </c>
      <c r="D117">
        <v>193</v>
      </c>
      <c r="E117">
        <v>878</v>
      </c>
      <c r="F117">
        <v>120426</v>
      </c>
      <c r="G117">
        <v>8</v>
      </c>
      <c r="H117" t="s">
        <v>58</v>
      </c>
      <c r="I117">
        <v>2360</v>
      </c>
      <c r="J117" t="s">
        <v>241</v>
      </c>
      <c r="K117">
        <v>2017</v>
      </c>
      <c r="L117" s="1">
        <v>42736</v>
      </c>
      <c r="M117" t="str">
        <f>TRIM(Data_CPU[[#This Row],[cpuName]])</f>
        <v>Kirin 659</v>
      </c>
      <c r="N117">
        <f>YEAR(Data_CPU[[#This Row],[release_date]])</f>
        <v>2017</v>
      </c>
      <c r="O117" t="str">
        <f t="shared" si="12"/>
        <v>Entry</v>
      </c>
      <c r="P117">
        <f t="shared" si="13"/>
        <v>372</v>
      </c>
      <c r="Q117" t="str">
        <f t="shared" si="14"/>
        <v>&gt;3.0 GHz</v>
      </c>
      <c r="R117" t="str">
        <f t="shared" si="15"/>
        <v>Low</v>
      </c>
    </row>
    <row r="118" spans="1:18" x14ac:dyDescent="0.3">
      <c r="A118">
        <v>124</v>
      </c>
      <c r="B118" t="s">
        <v>17</v>
      </c>
      <c r="C118" t="s">
        <v>242</v>
      </c>
      <c r="D118">
        <v>259</v>
      </c>
      <c r="E118">
        <v>873</v>
      </c>
      <c r="F118">
        <v>95445</v>
      </c>
      <c r="G118">
        <v>8</v>
      </c>
      <c r="H118" t="s">
        <v>58</v>
      </c>
      <c r="I118">
        <v>2100</v>
      </c>
      <c r="J118" t="s">
        <v>243</v>
      </c>
      <c r="K118">
        <v>2015</v>
      </c>
      <c r="L118" s="1">
        <v>42005</v>
      </c>
      <c r="M118" t="str">
        <f>TRIM(Data_CPU[[#This Row],[cpuName]])</f>
        <v>Exynos 7420</v>
      </c>
      <c r="N118">
        <f>YEAR(Data_CPU[[#This Row],[release_date]])</f>
        <v>2015</v>
      </c>
      <c r="O118" t="str">
        <f t="shared" si="12"/>
        <v>Entry</v>
      </c>
      <c r="P118">
        <f t="shared" si="13"/>
        <v>416</v>
      </c>
      <c r="Q118" t="str">
        <f t="shared" si="14"/>
        <v>&gt;3.0 GHz</v>
      </c>
      <c r="R118" t="str">
        <f t="shared" si="15"/>
        <v>Low</v>
      </c>
    </row>
    <row r="119" spans="1:18" x14ac:dyDescent="0.3">
      <c r="A119">
        <v>121</v>
      </c>
      <c r="B119" t="s">
        <v>14</v>
      </c>
      <c r="C119" t="s">
        <v>244</v>
      </c>
      <c r="D119">
        <v>153</v>
      </c>
      <c r="E119">
        <v>851</v>
      </c>
      <c r="F119">
        <v>109039</v>
      </c>
      <c r="G119">
        <v>8</v>
      </c>
      <c r="H119" t="s">
        <v>58</v>
      </c>
      <c r="I119">
        <v>2300</v>
      </c>
      <c r="J119" t="s">
        <v>228</v>
      </c>
      <c r="K119">
        <v>2017</v>
      </c>
      <c r="L119" s="1">
        <v>42736</v>
      </c>
      <c r="M119" t="str">
        <f>TRIM(Data_CPU[[#This Row],[cpuName]])</f>
        <v>Helio P23</v>
      </c>
      <c r="N119">
        <f>YEAR(Data_CPU[[#This Row],[release_date]])</f>
        <v>2017</v>
      </c>
      <c r="O119" t="str">
        <f t="shared" si="12"/>
        <v>Entry</v>
      </c>
      <c r="P119">
        <f t="shared" si="13"/>
        <v>370</v>
      </c>
      <c r="Q119" t="str">
        <f t="shared" si="14"/>
        <v>&gt;3.0 GHz</v>
      </c>
      <c r="R119" t="str">
        <f t="shared" si="15"/>
        <v>Low</v>
      </c>
    </row>
    <row r="120" spans="1:18" x14ac:dyDescent="0.3">
      <c r="A120">
        <v>125</v>
      </c>
      <c r="B120" t="s">
        <v>16</v>
      </c>
      <c r="C120" t="s">
        <v>245</v>
      </c>
      <c r="D120">
        <v>177</v>
      </c>
      <c r="E120">
        <v>805</v>
      </c>
      <c r="F120">
        <v>102154</v>
      </c>
      <c r="G120">
        <v>8</v>
      </c>
      <c r="H120" t="s">
        <v>58</v>
      </c>
      <c r="I120">
        <v>2000</v>
      </c>
      <c r="J120" t="s">
        <v>246</v>
      </c>
      <c r="K120">
        <v>2018</v>
      </c>
      <c r="L120" s="1">
        <v>43101</v>
      </c>
      <c r="M120" t="str">
        <f>TRIM(Data_CPU[[#This Row],[cpuName]])</f>
        <v>Snapdragon 439</v>
      </c>
      <c r="N120">
        <f>YEAR(Data_CPU[[#This Row],[release_date]])</f>
        <v>2018</v>
      </c>
      <c r="O120" t="str">
        <f t="shared" si="12"/>
        <v>Entry</v>
      </c>
      <c r="P120">
        <f t="shared" si="13"/>
        <v>403</v>
      </c>
      <c r="Q120" t="str">
        <f t="shared" si="14"/>
        <v>&gt;3.0 GHz</v>
      </c>
      <c r="R120" t="str">
        <f t="shared" si="15"/>
        <v>Low</v>
      </c>
    </row>
    <row r="121" spans="1:18" x14ac:dyDescent="0.3">
      <c r="A121">
        <v>79</v>
      </c>
      <c r="B121" t="s">
        <v>16</v>
      </c>
      <c r="C121" t="s">
        <v>247</v>
      </c>
      <c r="D121">
        <v>317</v>
      </c>
      <c r="E121">
        <v>799</v>
      </c>
      <c r="F121">
        <v>263967</v>
      </c>
      <c r="G121">
        <v>4</v>
      </c>
      <c r="H121" t="s">
        <v>177</v>
      </c>
      <c r="I121">
        <v>2200</v>
      </c>
      <c r="J121" t="s">
        <v>248</v>
      </c>
      <c r="K121">
        <v>2016</v>
      </c>
      <c r="L121" s="1">
        <v>42370</v>
      </c>
      <c r="M121" t="str">
        <f>TRIM(Data_CPU[[#This Row],[cpuName]])</f>
        <v>Snapdragon 820</v>
      </c>
      <c r="N121">
        <f>YEAR(Data_CPU[[#This Row],[release_date]])</f>
        <v>2016</v>
      </c>
      <c r="O121" t="str">
        <f t="shared" si="12"/>
        <v>Entry</v>
      </c>
      <c r="P121">
        <f t="shared" si="13"/>
        <v>363</v>
      </c>
      <c r="Q121" t="str">
        <f t="shared" si="14"/>
        <v>&gt;3.0 GHz</v>
      </c>
      <c r="R121" t="str">
        <f t="shared" si="15"/>
        <v>Low</v>
      </c>
    </row>
    <row r="122" spans="1:18" x14ac:dyDescent="0.3">
      <c r="A122">
        <v>119</v>
      </c>
      <c r="B122" t="s">
        <v>17</v>
      </c>
      <c r="C122" t="s">
        <v>249</v>
      </c>
      <c r="D122">
        <v>293</v>
      </c>
      <c r="E122">
        <v>770</v>
      </c>
      <c r="F122">
        <v>143056</v>
      </c>
      <c r="G122">
        <v>6</v>
      </c>
      <c r="H122" t="s">
        <v>54</v>
      </c>
      <c r="I122">
        <v>2000</v>
      </c>
      <c r="J122" t="s">
        <v>250</v>
      </c>
      <c r="K122">
        <v>2018</v>
      </c>
      <c r="L122" s="1">
        <v>43101</v>
      </c>
      <c r="M122" t="str">
        <f>TRIM(Data_CPU[[#This Row],[cpuName]])</f>
        <v>Exynos 7872</v>
      </c>
      <c r="N122">
        <f>YEAR(Data_CPU[[#This Row],[release_date]])</f>
        <v>2018</v>
      </c>
      <c r="O122" t="str">
        <f t="shared" si="12"/>
        <v>Entry</v>
      </c>
      <c r="P122">
        <f t="shared" si="13"/>
        <v>385</v>
      </c>
      <c r="Q122" t="str">
        <f t="shared" si="14"/>
        <v>&gt;3.0 GHz</v>
      </c>
      <c r="R122" t="str">
        <f t="shared" si="15"/>
        <v>Low</v>
      </c>
    </row>
    <row r="123" spans="1:18" x14ac:dyDescent="0.3">
      <c r="A123">
        <v>116</v>
      </c>
      <c r="B123" t="s">
        <v>14</v>
      </c>
      <c r="C123" t="s">
        <v>251</v>
      </c>
      <c r="D123">
        <v>137</v>
      </c>
      <c r="E123">
        <v>754</v>
      </c>
      <c r="F123">
        <v>113937</v>
      </c>
      <c r="G123">
        <v>8</v>
      </c>
      <c r="H123" t="s">
        <v>58</v>
      </c>
      <c r="I123">
        <v>1800</v>
      </c>
      <c r="J123" t="s">
        <v>252</v>
      </c>
      <c r="K123">
        <v>2020</v>
      </c>
      <c r="L123" s="1">
        <v>43831</v>
      </c>
      <c r="M123" t="str">
        <f>TRIM(Data_CPU[[#This Row],[cpuName]])</f>
        <v>Helio A25</v>
      </c>
      <c r="N123">
        <f>YEAR(Data_CPU[[#This Row],[release_date]])</f>
        <v>2020</v>
      </c>
      <c r="O123" t="str">
        <f t="shared" si="12"/>
        <v>Entry</v>
      </c>
      <c r="P123">
        <f t="shared" si="13"/>
        <v>419</v>
      </c>
      <c r="Q123" t="str">
        <f t="shared" si="14"/>
        <v>&gt;3.0 GHz</v>
      </c>
      <c r="R123" t="str">
        <f t="shared" si="15"/>
        <v>Low</v>
      </c>
    </row>
    <row r="124" spans="1:18" x14ac:dyDescent="0.3">
      <c r="A124">
        <v>104</v>
      </c>
      <c r="B124" t="s">
        <v>16</v>
      </c>
      <c r="C124" t="s">
        <v>253</v>
      </c>
      <c r="D124">
        <v>338</v>
      </c>
      <c r="E124">
        <v>742</v>
      </c>
      <c r="F124">
        <v>196542</v>
      </c>
      <c r="G124">
        <v>4</v>
      </c>
      <c r="H124" t="s">
        <v>177</v>
      </c>
      <c r="I124">
        <v>2342</v>
      </c>
      <c r="J124" t="s">
        <v>248</v>
      </c>
      <c r="K124">
        <v>2016</v>
      </c>
      <c r="L124" s="1">
        <v>42370</v>
      </c>
      <c r="M124" t="str">
        <f>TRIM(Data_CPU[[#This Row],[cpuName]])</f>
        <v>Snapdragon 821</v>
      </c>
      <c r="N124">
        <f>YEAR(Data_CPU[[#This Row],[release_date]])</f>
        <v>2016</v>
      </c>
      <c r="O124" t="str">
        <f t="shared" si="12"/>
        <v>Entry</v>
      </c>
      <c r="P124">
        <f t="shared" si="13"/>
        <v>317</v>
      </c>
      <c r="Q124" t="str">
        <f t="shared" si="14"/>
        <v>&gt;3.0 GHz</v>
      </c>
      <c r="R124" t="str">
        <f t="shared" si="15"/>
        <v>Low</v>
      </c>
    </row>
    <row r="125" spans="1:18" x14ac:dyDescent="0.3">
      <c r="A125">
        <v>112</v>
      </c>
      <c r="B125" t="s">
        <v>14</v>
      </c>
      <c r="C125" t="s">
        <v>254</v>
      </c>
      <c r="D125">
        <v>173</v>
      </c>
      <c r="E125">
        <v>679</v>
      </c>
      <c r="F125">
        <v>107226</v>
      </c>
      <c r="G125">
        <v>8</v>
      </c>
      <c r="H125" t="s">
        <v>237</v>
      </c>
      <c r="I125">
        <v>2300</v>
      </c>
      <c r="J125" t="s">
        <v>235</v>
      </c>
      <c r="K125">
        <v>2020</v>
      </c>
      <c r="L125" s="1">
        <v>43831</v>
      </c>
      <c r="M125" t="str">
        <f>TRIM(Data_CPU[[#This Row],[cpuName]])</f>
        <v>Helio G35</v>
      </c>
      <c r="N125">
        <f>YEAR(Data_CPU[[#This Row],[release_date]])</f>
        <v>2020</v>
      </c>
      <c r="O125" t="str">
        <f t="shared" si="12"/>
        <v>Entry</v>
      </c>
      <c r="P125">
        <f t="shared" si="13"/>
        <v>295</v>
      </c>
      <c r="Q125" t="str">
        <f t="shared" si="14"/>
        <v>&gt;3.0 GHz</v>
      </c>
      <c r="R125" t="str">
        <f t="shared" si="15"/>
        <v>Low</v>
      </c>
    </row>
    <row r="126" spans="1:18" x14ac:dyDescent="0.3">
      <c r="A126">
        <v>117</v>
      </c>
      <c r="B126" t="s">
        <v>14</v>
      </c>
      <c r="C126" t="s">
        <v>255</v>
      </c>
      <c r="D126">
        <v>135</v>
      </c>
      <c r="E126">
        <v>471</v>
      </c>
      <c r="F126">
        <v>92753</v>
      </c>
      <c r="G126">
        <v>8</v>
      </c>
      <c r="H126" t="s">
        <v>237</v>
      </c>
      <c r="I126">
        <v>2000</v>
      </c>
      <c r="J126" t="s">
        <v>235</v>
      </c>
      <c r="K126">
        <v>2020</v>
      </c>
      <c r="L126" s="1">
        <v>43831</v>
      </c>
      <c r="M126" t="str">
        <f>TRIM(Data_CPU[[#This Row],[cpuName]])</f>
        <v>Helio G25</v>
      </c>
      <c r="N126">
        <f>YEAR(Data_CPU[[#This Row],[release_date]])</f>
        <v>2020</v>
      </c>
      <c r="O126" t="str">
        <f t="shared" si="12"/>
        <v>Entry</v>
      </c>
      <c r="P126">
        <f t="shared" si="13"/>
        <v>236</v>
      </c>
      <c r="Q126" t="str">
        <f t="shared" si="14"/>
        <v>&gt;3.0 GHz</v>
      </c>
      <c r="R126" t="str">
        <f t="shared" si="15"/>
        <v>Low</v>
      </c>
    </row>
  </sheetData>
  <conditionalFormatting sqref="E1:E1048576">
    <cfRule type="dataBar" priority="1">
      <dataBar>
        <cfvo type="min"/>
        <cfvo type="max"/>
        <color rgb="FFD6007B"/>
      </dataBar>
      <extLst>
        <ext xmlns:x14="http://schemas.microsoft.com/office/spreadsheetml/2009/9/main" uri="{B025F937-C7B1-47D3-B67F-A62EFF666E3E}">
          <x14:id>{598BD1A0-E673-4BB1-B61E-0BB3EF8E4347}</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98BD1A0-E673-4BB1-B61E-0BB3EF8E4347}">
            <x14:dataBar minLength="0" maxLength="100" border="1" negativeBarBorderColorSameAsPositive="0">
              <x14:cfvo type="autoMin"/>
              <x14:cfvo type="autoMax"/>
              <x14:borderColor rgb="FFD6007B"/>
              <x14:negativeFillColor rgb="FFFF0000"/>
              <x14:negativeBorderColor rgb="FFFF0000"/>
              <x14:axisColor rgb="FF000000"/>
            </x14:dataBar>
          </x14:cfRule>
          <xm:sqref>E1:E1048576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D9DB6-BD2A-4F5A-83C3-E54CFFFD721A}">
  <dimension ref="A1:L189"/>
  <sheetViews>
    <sheetView workbookViewId="0">
      <selection activeCell="H2" sqref="H2"/>
    </sheetView>
  </sheetViews>
  <sheetFormatPr defaultRowHeight="14.4" x14ac:dyDescent="0.3"/>
  <cols>
    <col min="1" max="1" width="30.33203125" bestFit="1" customWidth="1"/>
    <col min="2" max="2" width="11.109375" bestFit="1" customWidth="1"/>
    <col min="3" max="3" width="29.6640625" bestFit="1" customWidth="1"/>
    <col min="4" max="4" width="7.6640625" bestFit="1" customWidth="1"/>
    <col min="5" max="5" width="7.5546875" bestFit="1" customWidth="1"/>
    <col min="6" max="6" width="11" bestFit="1" customWidth="1"/>
    <col min="7" max="7" width="11.109375" bestFit="1" customWidth="1"/>
    <col min="8" max="8" width="11.33203125" bestFit="1" customWidth="1"/>
    <col min="9" max="9" width="13.6640625" bestFit="1" customWidth="1"/>
    <col min="10" max="10" width="13.88671875" customWidth="1"/>
    <col min="11" max="11" width="29.33203125" bestFit="1" customWidth="1"/>
    <col min="12" max="12" width="14.6640625" bestFit="1" customWidth="1"/>
  </cols>
  <sheetData>
    <row r="1" spans="1:12" x14ac:dyDescent="0.3">
      <c r="A1" t="s">
        <v>256</v>
      </c>
      <c r="B1" t="s">
        <v>37</v>
      </c>
      <c r="C1" t="s">
        <v>38</v>
      </c>
      <c r="D1" t="s">
        <v>257</v>
      </c>
      <c r="E1" t="s">
        <v>258</v>
      </c>
      <c r="F1" t="s">
        <v>259</v>
      </c>
      <c r="G1" t="s">
        <v>260</v>
      </c>
      <c r="H1" t="s">
        <v>261</v>
      </c>
      <c r="I1" t="s">
        <v>46</v>
      </c>
      <c r="J1" t="s">
        <v>47</v>
      </c>
      <c r="K1" t="s">
        <v>48</v>
      </c>
      <c r="L1" t="s">
        <v>49</v>
      </c>
    </row>
    <row r="2" spans="1:12" x14ac:dyDescent="0.3">
      <c r="A2" t="s">
        <v>262</v>
      </c>
      <c r="B2" t="s">
        <v>7</v>
      </c>
      <c r="C2" t="s">
        <v>263</v>
      </c>
      <c r="D2">
        <v>6</v>
      </c>
      <c r="E2">
        <v>3230</v>
      </c>
      <c r="F2">
        <v>935</v>
      </c>
      <c r="G2">
        <v>2273</v>
      </c>
      <c r="H2">
        <v>2676</v>
      </c>
      <c r="I2">
        <v>2021</v>
      </c>
      <c r="J2" s="1">
        <v>44197</v>
      </c>
      <c r="K2" t="str">
        <f>TRIM(Data_ML[[#This Row],[cpuName]])</f>
        <v>A15 Bionic</v>
      </c>
      <c r="L2">
        <f>YEAR(Data_ML[[#This Row],[release_date]])</f>
        <v>2021</v>
      </c>
    </row>
    <row r="3" spans="1:12" x14ac:dyDescent="0.3">
      <c r="A3" t="s">
        <v>264</v>
      </c>
      <c r="B3" t="s">
        <v>7</v>
      </c>
      <c r="C3" t="s">
        <v>263</v>
      </c>
      <c r="D3">
        <v>6</v>
      </c>
      <c r="E3">
        <v>3230</v>
      </c>
      <c r="F3">
        <v>931</v>
      </c>
      <c r="G3">
        <v>2261</v>
      </c>
      <c r="H3">
        <v>2665</v>
      </c>
      <c r="I3">
        <v>2021</v>
      </c>
      <c r="J3" s="1">
        <v>44197</v>
      </c>
      <c r="K3" t="str">
        <f>TRIM(Data_ML[[#This Row],[cpuName]])</f>
        <v>A15 Bionic</v>
      </c>
      <c r="L3">
        <f>YEAR(Data_ML[[#This Row],[release_date]])</f>
        <v>2021</v>
      </c>
    </row>
    <row r="4" spans="1:12" x14ac:dyDescent="0.3">
      <c r="A4" t="s">
        <v>265</v>
      </c>
      <c r="B4" t="s">
        <v>7</v>
      </c>
      <c r="C4" t="s">
        <v>263</v>
      </c>
      <c r="D4">
        <v>6</v>
      </c>
      <c r="E4">
        <v>3230</v>
      </c>
      <c r="F4">
        <v>924</v>
      </c>
      <c r="G4">
        <v>1852</v>
      </c>
      <c r="H4">
        <v>2660</v>
      </c>
      <c r="I4">
        <v>2021</v>
      </c>
      <c r="J4" s="1">
        <v>44197</v>
      </c>
      <c r="K4" t="str">
        <f>TRIM(Data_ML[[#This Row],[cpuName]])</f>
        <v>A15 Bionic</v>
      </c>
      <c r="L4">
        <f>YEAR(Data_ML[[#This Row],[release_date]])</f>
        <v>2021</v>
      </c>
    </row>
    <row r="5" spans="1:12" x14ac:dyDescent="0.3">
      <c r="A5" t="s">
        <v>266</v>
      </c>
      <c r="B5" t="s">
        <v>7</v>
      </c>
      <c r="C5" t="s">
        <v>267</v>
      </c>
      <c r="D5">
        <v>8</v>
      </c>
      <c r="E5">
        <v>3190</v>
      </c>
      <c r="F5">
        <v>1013</v>
      </c>
      <c r="G5">
        <v>2824</v>
      </c>
      <c r="H5">
        <v>2657</v>
      </c>
      <c r="I5">
        <v>2020</v>
      </c>
      <c r="J5" s="1">
        <v>43831</v>
      </c>
      <c r="K5" t="str">
        <f>TRIM(Data_ML[[#This Row],[cpuName]])</f>
        <v>M1</v>
      </c>
      <c r="L5">
        <f>YEAR(Data_ML[[#This Row],[release_date]])</f>
        <v>2020</v>
      </c>
    </row>
    <row r="6" spans="1:12" x14ac:dyDescent="0.3">
      <c r="A6" t="s">
        <v>268</v>
      </c>
      <c r="B6" t="s">
        <v>7</v>
      </c>
      <c r="C6" t="s">
        <v>267</v>
      </c>
      <c r="D6">
        <v>8</v>
      </c>
      <c r="E6">
        <v>3190</v>
      </c>
      <c r="F6">
        <v>1011</v>
      </c>
      <c r="G6">
        <v>2842</v>
      </c>
      <c r="H6">
        <v>2656</v>
      </c>
      <c r="I6">
        <v>2020</v>
      </c>
      <c r="J6" s="1">
        <v>43831</v>
      </c>
      <c r="K6" t="str">
        <f>TRIM(Data_ML[[#This Row],[cpuName]])</f>
        <v>M1</v>
      </c>
      <c r="L6">
        <f>YEAR(Data_ML[[#This Row],[release_date]])</f>
        <v>2020</v>
      </c>
    </row>
    <row r="7" spans="1:12" x14ac:dyDescent="0.3">
      <c r="A7" t="s">
        <v>269</v>
      </c>
      <c r="B7" t="s">
        <v>7</v>
      </c>
      <c r="C7" t="s">
        <v>263</v>
      </c>
      <c r="D7">
        <v>6</v>
      </c>
      <c r="E7">
        <v>3230</v>
      </c>
      <c r="F7">
        <v>916</v>
      </c>
      <c r="G7">
        <v>1831</v>
      </c>
      <c r="H7">
        <v>2605</v>
      </c>
      <c r="I7">
        <v>2021</v>
      </c>
      <c r="J7" s="1">
        <v>44197</v>
      </c>
      <c r="K7" t="str">
        <f>TRIM(Data_ML[[#This Row],[cpuName]])</f>
        <v>A15 Bionic</v>
      </c>
      <c r="L7">
        <f>YEAR(Data_ML[[#This Row],[release_date]])</f>
        <v>2021</v>
      </c>
    </row>
    <row r="8" spans="1:12" x14ac:dyDescent="0.3">
      <c r="A8" t="s">
        <v>270</v>
      </c>
      <c r="B8" t="s">
        <v>7</v>
      </c>
      <c r="C8" t="s">
        <v>263</v>
      </c>
      <c r="D8">
        <v>6</v>
      </c>
      <c r="E8">
        <v>2920</v>
      </c>
      <c r="F8">
        <v>899</v>
      </c>
      <c r="G8">
        <v>2095</v>
      </c>
      <c r="H8">
        <v>2522</v>
      </c>
      <c r="I8">
        <v>2021</v>
      </c>
      <c r="J8" s="1">
        <v>44197</v>
      </c>
      <c r="K8" t="str">
        <f>TRIM(Data_ML[[#This Row],[cpuName]])</f>
        <v>A15 Bionic</v>
      </c>
      <c r="L8">
        <f>YEAR(Data_ML[[#This Row],[release_date]])</f>
        <v>2021</v>
      </c>
    </row>
    <row r="9" spans="1:12" x14ac:dyDescent="0.3">
      <c r="A9" t="s">
        <v>271</v>
      </c>
      <c r="B9" t="s">
        <v>7</v>
      </c>
      <c r="C9" t="s">
        <v>272</v>
      </c>
      <c r="D9">
        <v>6</v>
      </c>
      <c r="E9">
        <v>2990</v>
      </c>
      <c r="F9">
        <v>881</v>
      </c>
      <c r="G9">
        <v>1950</v>
      </c>
      <c r="H9">
        <v>2360</v>
      </c>
      <c r="I9">
        <v>2020</v>
      </c>
      <c r="J9" s="1">
        <v>43831</v>
      </c>
      <c r="K9" t="str">
        <f>TRIM(Data_ML[[#This Row],[cpuName]])</f>
        <v>A14 Bionic</v>
      </c>
      <c r="L9">
        <f>YEAR(Data_ML[[#This Row],[release_date]])</f>
        <v>2020</v>
      </c>
    </row>
    <row r="10" spans="1:12" x14ac:dyDescent="0.3">
      <c r="A10" t="s">
        <v>273</v>
      </c>
      <c r="B10" t="s">
        <v>7</v>
      </c>
      <c r="C10" t="s">
        <v>272</v>
      </c>
      <c r="D10">
        <v>6</v>
      </c>
      <c r="E10">
        <v>2990</v>
      </c>
      <c r="F10">
        <v>859</v>
      </c>
      <c r="G10">
        <v>1584</v>
      </c>
      <c r="H10">
        <v>2341</v>
      </c>
      <c r="I10">
        <v>2020</v>
      </c>
      <c r="J10" s="1">
        <v>43831</v>
      </c>
      <c r="K10" t="str">
        <f>TRIM(Data_ML[[#This Row],[cpuName]])</f>
        <v>A14 Bionic</v>
      </c>
      <c r="L10">
        <f>YEAR(Data_ML[[#This Row],[release_date]])</f>
        <v>2020</v>
      </c>
    </row>
    <row r="11" spans="1:12" x14ac:dyDescent="0.3">
      <c r="A11" t="s">
        <v>274</v>
      </c>
      <c r="B11" t="s">
        <v>7</v>
      </c>
      <c r="C11" t="s">
        <v>272</v>
      </c>
      <c r="D11">
        <v>6</v>
      </c>
      <c r="E11">
        <v>2990</v>
      </c>
      <c r="F11">
        <v>856</v>
      </c>
      <c r="G11">
        <v>1578</v>
      </c>
      <c r="H11">
        <v>2324</v>
      </c>
      <c r="I11">
        <v>2020</v>
      </c>
      <c r="J11" s="1">
        <v>43831</v>
      </c>
      <c r="K11" t="str">
        <f>TRIM(Data_ML[[#This Row],[cpuName]])</f>
        <v>A14 Bionic</v>
      </c>
      <c r="L11">
        <f>YEAR(Data_ML[[#This Row],[release_date]])</f>
        <v>2020</v>
      </c>
    </row>
    <row r="12" spans="1:12" x14ac:dyDescent="0.3">
      <c r="A12" t="s">
        <v>275</v>
      </c>
      <c r="B12" t="s">
        <v>7</v>
      </c>
      <c r="C12" t="s">
        <v>272</v>
      </c>
      <c r="D12">
        <v>6</v>
      </c>
      <c r="E12">
        <v>2990</v>
      </c>
      <c r="F12">
        <v>866</v>
      </c>
      <c r="G12">
        <v>1579</v>
      </c>
      <c r="H12">
        <v>2314</v>
      </c>
      <c r="I12">
        <v>2020</v>
      </c>
      <c r="J12" s="1">
        <v>43831</v>
      </c>
      <c r="K12" t="str">
        <f>TRIM(Data_ML[[#This Row],[cpuName]])</f>
        <v>A14 Bionic</v>
      </c>
      <c r="L12">
        <f>YEAR(Data_ML[[#This Row],[release_date]])</f>
        <v>2020</v>
      </c>
    </row>
    <row r="13" spans="1:12" x14ac:dyDescent="0.3">
      <c r="A13" t="s">
        <v>276</v>
      </c>
      <c r="B13" t="s">
        <v>7</v>
      </c>
      <c r="C13" t="s">
        <v>272</v>
      </c>
      <c r="D13">
        <v>6</v>
      </c>
      <c r="E13">
        <v>2990</v>
      </c>
      <c r="F13">
        <v>848</v>
      </c>
      <c r="G13">
        <v>1564</v>
      </c>
      <c r="H13">
        <v>2283</v>
      </c>
      <c r="I13">
        <v>2020</v>
      </c>
      <c r="J13" s="1">
        <v>43831</v>
      </c>
      <c r="K13" t="str">
        <f>TRIM(Data_ML[[#This Row],[cpuName]])</f>
        <v>A14 Bionic</v>
      </c>
      <c r="L13">
        <f>YEAR(Data_ML[[#This Row],[release_date]])</f>
        <v>2020</v>
      </c>
    </row>
    <row r="14" spans="1:12" x14ac:dyDescent="0.3">
      <c r="A14" t="s">
        <v>277</v>
      </c>
      <c r="B14" t="s">
        <v>10</v>
      </c>
      <c r="C14" t="s">
        <v>278</v>
      </c>
      <c r="D14">
        <v>8</v>
      </c>
      <c r="E14">
        <v>1803</v>
      </c>
      <c r="F14">
        <v>317</v>
      </c>
      <c r="G14">
        <v>1374</v>
      </c>
      <c r="H14">
        <v>1677</v>
      </c>
      <c r="I14">
        <v>2021</v>
      </c>
      <c r="J14" s="1">
        <v>44197</v>
      </c>
      <c r="K14" t="str">
        <f>TRIM(Data_ML[[#This Row],[cpuName]])</f>
        <v>Tensor</v>
      </c>
      <c r="L14">
        <f>YEAR(Data_ML[[#This Row],[release_date]])</f>
        <v>2021</v>
      </c>
    </row>
    <row r="15" spans="1:12" x14ac:dyDescent="0.3">
      <c r="A15" t="s">
        <v>279</v>
      </c>
      <c r="B15" t="s">
        <v>10</v>
      </c>
      <c r="C15" t="s">
        <v>278</v>
      </c>
      <c r="D15">
        <v>8</v>
      </c>
      <c r="E15">
        <v>1804</v>
      </c>
      <c r="F15">
        <v>314</v>
      </c>
      <c r="G15">
        <v>1368</v>
      </c>
      <c r="H15">
        <v>1647</v>
      </c>
      <c r="I15">
        <v>2021</v>
      </c>
      <c r="J15" s="1">
        <v>44197</v>
      </c>
      <c r="K15" t="str">
        <f>TRIM(Data_ML[[#This Row],[cpuName]])</f>
        <v>Tensor</v>
      </c>
      <c r="L15">
        <f>YEAR(Data_ML[[#This Row],[release_date]])</f>
        <v>2021</v>
      </c>
    </row>
    <row r="16" spans="1:12" x14ac:dyDescent="0.3">
      <c r="A16" t="s">
        <v>280</v>
      </c>
      <c r="B16" t="s">
        <v>7</v>
      </c>
      <c r="C16" t="s">
        <v>281</v>
      </c>
      <c r="D16">
        <v>6</v>
      </c>
      <c r="E16">
        <v>2660</v>
      </c>
      <c r="F16">
        <v>697</v>
      </c>
      <c r="G16">
        <v>1375</v>
      </c>
      <c r="H16">
        <v>1641</v>
      </c>
      <c r="I16">
        <v>2019</v>
      </c>
      <c r="J16" s="1">
        <v>43466</v>
      </c>
      <c r="K16" t="str">
        <f>TRIM(Data_ML[[#This Row],[cpuName]])</f>
        <v>A13 Bionic</v>
      </c>
      <c r="L16">
        <f>YEAR(Data_ML[[#This Row],[release_date]])</f>
        <v>2019</v>
      </c>
    </row>
    <row r="17" spans="1:12" x14ac:dyDescent="0.3">
      <c r="A17" t="s">
        <v>282</v>
      </c>
      <c r="B17" t="s">
        <v>7</v>
      </c>
      <c r="C17" t="s">
        <v>281</v>
      </c>
      <c r="D17">
        <v>6</v>
      </c>
      <c r="E17">
        <v>2660</v>
      </c>
      <c r="F17">
        <v>683</v>
      </c>
      <c r="G17">
        <v>1363</v>
      </c>
      <c r="H17">
        <v>1639</v>
      </c>
      <c r="I17">
        <v>2019</v>
      </c>
      <c r="J17" s="1">
        <v>43466</v>
      </c>
      <c r="K17" t="str">
        <f>TRIM(Data_ML[[#This Row],[cpuName]])</f>
        <v>A13 Bionic</v>
      </c>
      <c r="L17">
        <f>YEAR(Data_ML[[#This Row],[release_date]])</f>
        <v>2019</v>
      </c>
    </row>
    <row r="18" spans="1:12" x14ac:dyDescent="0.3">
      <c r="A18" t="s">
        <v>283</v>
      </c>
      <c r="B18" t="s">
        <v>7</v>
      </c>
      <c r="C18" t="s">
        <v>281</v>
      </c>
      <c r="D18">
        <v>6</v>
      </c>
      <c r="E18">
        <v>2660</v>
      </c>
      <c r="F18">
        <v>696</v>
      </c>
      <c r="G18">
        <v>1369</v>
      </c>
      <c r="H18">
        <v>1633</v>
      </c>
      <c r="I18">
        <v>2019</v>
      </c>
      <c r="J18" s="1">
        <v>43466</v>
      </c>
      <c r="K18" t="str">
        <f>TRIM(Data_ML[[#This Row],[cpuName]])</f>
        <v>A13 Bionic</v>
      </c>
      <c r="L18">
        <f>YEAR(Data_ML[[#This Row],[release_date]])</f>
        <v>2019</v>
      </c>
    </row>
    <row r="19" spans="1:12" x14ac:dyDescent="0.3">
      <c r="A19" t="s">
        <v>284</v>
      </c>
      <c r="B19" t="s">
        <v>7</v>
      </c>
      <c r="C19" t="s">
        <v>281</v>
      </c>
      <c r="D19">
        <v>6</v>
      </c>
      <c r="E19">
        <v>2660</v>
      </c>
      <c r="F19">
        <v>673</v>
      </c>
      <c r="G19">
        <v>1354</v>
      </c>
      <c r="H19">
        <v>1633</v>
      </c>
      <c r="I19">
        <v>2019</v>
      </c>
      <c r="J19" s="1">
        <v>43466</v>
      </c>
      <c r="K19" t="str">
        <f>TRIM(Data_ML[[#This Row],[cpuName]])</f>
        <v>A13 Bionic</v>
      </c>
      <c r="L19">
        <f>YEAR(Data_ML[[#This Row],[release_date]])</f>
        <v>2019</v>
      </c>
    </row>
    <row r="20" spans="1:12" x14ac:dyDescent="0.3">
      <c r="A20" t="s">
        <v>285</v>
      </c>
      <c r="B20" t="s">
        <v>16</v>
      </c>
      <c r="C20" t="s">
        <v>286</v>
      </c>
      <c r="D20">
        <v>8</v>
      </c>
      <c r="E20">
        <v>1804</v>
      </c>
      <c r="F20">
        <v>384</v>
      </c>
      <c r="G20">
        <v>1834</v>
      </c>
      <c r="H20">
        <v>1615</v>
      </c>
      <c r="I20">
        <v>2021</v>
      </c>
      <c r="J20" s="1">
        <v>44197</v>
      </c>
      <c r="K20" t="str">
        <f>TRIM(Data_ML[[#This Row],[cpuName]])</f>
        <v>Snapdragon 888</v>
      </c>
      <c r="L20">
        <f>YEAR(Data_ML[[#This Row],[release_date]])</f>
        <v>2021</v>
      </c>
    </row>
    <row r="21" spans="1:12" x14ac:dyDescent="0.3">
      <c r="A21" t="s">
        <v>287</v>
      </c>
      <c r="B21" t="s">
        <v>16</v>
      </c>
      <c r="C21" t="s">
        <v>286</v>
      </c>
      <c r="D21">
        <v>8</v>
      </c>
      <c r="E21">
        <v>1804</v>
      </c>
      <c r="F21">
        <v>386</v>
      </c>
      <c r="G21">
        <v>1668</v>
      </c>
      <c r="H21">
        <v>1536</v>
      </c>
      <c r="I21">
        <v>2021</v>
      </c>
      <c r="J21" s="1">
        <v>44197</v>
      </c>
      <c r="K21" t="str">
        <f>TRIM(Data_ML[[#This Row],[cpuName]])</f>
        <v>Snapdragon 888</v>
      </c>
      <c r="L21">
        <f>YEAR(Data_ML[[#This Row],[release_date]])</f>
        <v>2021</v>
      </c>
    </row>
    <row r="22" spans="1:12" x14ac:dyDescent="0.3">
      <c r="A22" t="s">
        <v>288</v>
      </c>
      <c r="B22" t="s">
        <v>7</v>
      </c>
      <c r="C22" t="s">
        <v>289</v>
      </c>
      <c r="D22">
        <v>8</v>
      </c>
      <c r="E22">
        <v>2490</v>
      </c>
      <c r="F22">
        <v>694</v>
      </c>
      <c r="G22">
        <v>1903</v>
      </c>
      <c r="H22">
        <v>1415</v>
      </c>
      <c r="I22">
        <v>2018</v>
      </c>
      <c r="J22" s="1">
        <v>43101</v>
      </c>
      <c r="K22" t="str">
        <f>TRIM(Data_ML[[#This Row],[cpuName]])</f>
        <v>A12X Bionic</v>
      </c>
      <c r="L22">
        <f>YEAR(Data_ML[[#This Row],[release_date]])</f>
        <v>2018</v>
      </c>
    </row>
    <row r="23" spans="1:12" x14ac:dyDescent="0.3">
      <c r="A23" t="s">
        <v>290</v>
      </c>
      <c r="B23" t="s">
        <v>7</v>
      </c>
      <c r="C23" t="s">
        <v>291</v>
      </c>
      <c r="D23">
        <v>8</v>
      </c>
      <c r="E23">
        <v>2490</v>
      </c>
      <c r="F23">
        <v>681</v>
      </c>
      <c r="G23">
        <v>1942</v>
      </c>
      <c r="H23">
        <v>1388</v>
      </c>
      <c r="I23">
        <v>2020</v>
      </c>
      <c r="J23" s="1">
        <v>43831</v>
      </c>
      <c r="K23" t="str">
        <f>TRIM(Data_ML[[#This Row],[cpuName]])</f>
        <v>A12Z Bionic</v>
      </c>
      <c r="L23">
        <f>YEAR(Data_ML[[#This Row],[release_date]])</f>
        <v>2020</v>
      </c>
    </row>
    <row r="24" spans="1:12" x14ac:dyDescent="0.3">
      <c r="A24" t="s">
        <v>292</v>
      </c>
      <c r="B24" t="s">
        <v>7</v>
      </c>
      <c r="C24" t="s">
        <v>291</v>
      </c>
      <c r="D24">
        <v>8</v>
      </c>
      <c r="E24">
        <v>2490</v>
      </c>
      <c r="F24">
        <v>680</v>
      </c>
      <c r="G24">
        <v>1938</v>
      </c>
      <c r="H24">
        <v>1356</v>
      </c>
      <c r="I24">
        <v>2020</v>
      </c>
      <c r="J24" s="1">
        <v>43831</v>
      </c>
      <c r="K24" t="str">
        <f>TRIM(Data_ML[[#This Row],[cpuName]])</f>
        <v>A12Z Bionic</v>
      </c>
      <c r="L24">
        <f>YEAR(Data_ML[[#This Row],[release_date]])</f>
        <v>2020</v>
      </c>
    </row>
    <row r="25" spans="1:12" x14ac:dyDescent="0.3">
      <c r="A25" t="s">
        <v>293</v>
      </c>
      <c r="B25" t="s">
        <v>7</v>
      </c>
      <c r="C25" t="s">
        <v>289</v>
      </c>
      <c r="D25">
        <v>8</v>
      </c>
      <c r="E25">
        <v>2490</v>
      </c>
      <c r="F25">
        <v>678</v>
      </c>
      <c r="G25">
        <v>1878</v>
      </c>
      <c r="H25">
        <v>1352</v>
      </c>
      <c r="I25">
        <v>2018</v>
      </c>
      <c r="J25" s="1">
        <v>43101</v>
      </c>
      <c r="K25" t="str">
        <f>TRIM(Data_ML[[#This Row],[cpuName]])</f>
        <v>A12X Bionic</v>
      </c>
      <c r="L25">
        <f>YEAR(Data_ML[[#This Row],[release_date]])</f>
        <v>2018</v>
      </c>
    </row>
    <row r="26" spans="1:12" x14ac:dyDescent="0.3">
      <c r="A26" t="s">
        <v>294</v>
      </c>
      <c r="B26" t="s">
        <v>16</v>
      </c>
      <c r="C26" t="s">
        <v>286</v>
      </c>
      <c r="D26">
        <v>8</v>
      </c>
      <c r="E26">
        <v>1804</v>
      </c>
      <c r="F26">
        <v>371</v>
      </c>
      <c r="G26">
        <v>1558</v>
      </c>
      <c r="H26">
        <v>1337</v>
      </c>
      <c r="I26">
        <v>2021</v>
      </c>
      <c r="J26" s="1">
        <v>44197</v>
      </c>
      <c r="K26" t="str">
        <f>TRIM(Data_ML[[#This Row],[cpuName]])</f>
        <v>Snapdragon 888</v>
      </c>
      <c r="L26">
        <f>YEAR(Data_ML[[#This Row],[release_date]])</f>
        <v>2021</v>
      </c>
    </row>
    <row r="27" spans="1:12" x14ac:dyDescent="0.3">
      <c r="A27" t="s">
        <v>295</v>
      </c>
      <c r="B27" t="s">
        <v>7</v>
      </c>
      <c r="C27" t="s">
        <v>296</v>
      </c>
      <c r="D27">
        <v>6</v>
      </c>
      <c r="E27">
        <v>2490</v>
      </c>
      <c r="F27">
        <v>559</v>
      </c>
      <c r="G27">
        <v>1134</v>
      </c>
      <c r="H27">
        <v>1316</v>
      </c>
      <c r="I27">
        <v>2018</v>
      </c>
      <c r="J27" s="1">
        <v>43101</v>
      </c>
      <c r="K27" t="str">
        <f>TRIM(Data_ML[[#This Row],[cpuName]])</f>
        <v>A12 Bionic</v>
      </c>
      <c r="L27">
        <f>YEAR(Data_ML[[#This Row],[release_date]])</f>
        <v>2018</v>
      </c>
    </row>
    <row r="28" spans="1:12" x14ac:dyDescent="0.3">
      <c r="A28" t="s">
        <v>297</v>
      </c>
      <c r="B28" t="s">
        <v>7</v>
      </c>
      <c r="C28" t="s">
        <v>296</v>
      </c>
      <c r="D28">
        <v>6</v>
      </c>
      <c r="E28">
        <v>2490</v>
      </c>
      <c r="F28">
        <v>552</v>
      </c>
      <c r="G28">
        <v>1128</v>
      </c>
      <c r="H28">
        <v>1306</v>
      </c>
      <c r="I28">
        <v>2018</v>
      </c>
      <c r="J28" s="1">
        <v>43101</v>
      </c>
      <c r="K28" t="str">
        <f>TRIM(Data_ML[[#This Row],[cpuName]])</f>
        <v>A12 Bionic</v>
      </c>
      <c r="L28">
        <f>YEAR(Data_ML[[#This Row],[release_date]])</f>
        <v>2018</v>
      </c>
    </row>
    <row r="29" spans="1:12" x14ac:dyDescent="0.3">
      <c r="A29" t="s">
        <v>298</v>
      </c>
      <c r="B29" t="s">
        <v>7</v>
      </c>
      <c r="C29" t="s">
        <v>296</v>
      </c>
      <c r="D29">
        <v>6</v>
      </c>
      <c r="E29">
        <v>2490</v>
      </c>
      <c r="F29">
        <v>520</v>
      </c>
      <c r="G29">
        <v>1097</v>
      </c>
      <c r="H29">
        <v>1304</v>
      </c>
      <c r="I29">
        <v>2018</v>
      </c>
      <c r="J29" s="1">
        <v>43101</v>
      </c>
      <c r="K29" t="str">
        <f>TRIM(Data_ML[[#This Row],[cpuName]])</f>
        <v>A12 Bionic</v>
      </c>
      <c r="L29">
        <f>YEAR(Data_ML[[#This Row],[release_date]])</f>
        <v>2018</v>
      </c>
    </row>
    <row r="30" spans="1:12" x14ac:dyDescent="0.3">
      <c r="A30" t="s">
        <v>299</v>
      </c>
      <c r="B30" t="s">
        <v>7</v>
      </c>
      <c r="C30" t="s">
        <v>296</v>
      </c>
      <c r="D30">
        <v>6</v>
      </c>
      <c r="E30">
        <v>2490</v>
      </c>
      <c r="F30">
        <v>539</v>
      </c>
      <c r="G30">
        <v>1110</v>
      </c>
      <c r="H30">
        <v>1303</v>
      </c>
      <c r="I30">
        <v>2018</v>
      </c>
      <c r="J30" s="1">
        <v>43101</v>
      </c>
      <c r="K30" t="str">
        <f>TRIM(Data_ML[[#This Row],[cpuName]])</f>
        <v>A12 Bionic</v>
      </c>
      <c r="L30">
        <f>YEAR(Data_ML[[#This Row],[release_date]])</f>
        <v>2018</v>
      </c>
    </row>
    <row r="31" spans="1:12" x14ac:dyDescent="0.3">
      <c r="A31" t="s">
        <v>300</v>
      </c>
      <c r="B31" t="s">
        <v>7</v>
      </c>
      <c r="C31" t="s">
        <v>296</v>
      </c>
      <c r="D31">
        <v>6</v>
      </c>
      <c r="E31">
        <v>2490</v>
      </c>
      <c r="F31">
        <v>546</v>
      </c>
      <c r="G31">
        <v>1110</v>
      </c>
      <c r="H31">
        <v>1300</v>
      </c>
      <c r="I31">
        <v>2018</v>
      </c>
      <c r="J31" s="1">
        <v>43101</v>
      </c>
      <c r="K31" t="str">
        <f>TRIM(Data_ML[[#This Row],[cpuName]])</f>
        <v>A12 Bionic</v>
      </c>
      <c r="L31">
        <f>YEAR(Data_ML[[#This Row],[release_date]])</f>
        <v>2018</v>
      </c>
    </row>
    <row r="32" spans="1:12" x14ac:dyDescent="0.3">
      <c r="A32" t="s">
        <v>301</v>
      </c>
      <c r="B32" t="s">
        <v>7</v>
      </c>
      <c r="C32" t="s">
        <v>296</v>
      </c>
      <c r="D32">
        <v>6</v>
      </c>
      <c r="E32">
        <v>2490</v>
      </c>
      <c r="F32">
        <v>549</v>
      </c>
      <c r="G32">
        <v>1151</v>
      </c>
      <c r="H32">
        <v>1296</v>
      </c>
      <c r="I32">
        <v>2018</v>
      </c>
      <c r="J32" s="1">
        <v>43101</v>
      </c>
      <c r="K32" t="str">
        <f>TRIM(Data_ML[[#This Row],[cpuName]])</f>
        <v>A12 Bionic</v>
      </c>
      <c r="L32">
        <f>YEAR(Data_ML[[#This Row],[release_date]])</f>
        <v>2018</v>
      </c>
    </row>
    <row r="33" spans="1:12" x14ac:dyDescent="0.3">
      <c r="A33" t="s">
        <v>302</v>
      </c>
      <c r="B33" t="s">
        <v>16</v>
      </c>
      <c r="C33" t="s">
        <v>286</v>
      </c>
      <c r="D33">
        <v>8</v>
      </c>
      <c r="E33">
        <v>1804</v>
      </c>
      <c r="F33">
        <v>367</v>
      </c>
      <c r="G33">
        <v>1595</v>
      </c>
      <c r="H33">
        <v>1240</v>
      </c>
      <c r="I33">
        <v>2021</v>
      </c>
      <c r="J33" s="1">
        <v>44197</v>
      </c>
      <c r="K33" t="str">
        <f>TRIM(Data_ML[[#This Row],[cpuName]])</f>
        <v>Snapdragon 888</v>
      </c>
      <c r="L33">
        <f>YEAR(Data_ML[[#This Row],[release_date]])</f>
        <v>2021</v>
      </c>
    </row>
    <row r="34" spans="1:12" x14ac:dyDescent="0.3">
      <c r="A34" t="s">
        <v>303</v>
      </c>
      <c r="B34" t="s">
        <v>16</v>
      </c>
      <c r="C34" t="s">
        <v>286</v>
      </c>
      <c r="D34">
        <v>8</v>
      </c>
      <c r="E34">
        <v>1804</v>
      </c>
      <c r="F34">
        <v>420</v>
      </c>
      <c r="G34">
        <v>1726</v>
      </c>
      <c r="H34">
        <v>1196</v>
      </c>
      <c r="I34">
        <v>2021</v>
      </c>
      <c r="J34" s="1">
        <v>44197</v>
      </c>
      <c r="K34" t="str">
        <f>TRIM(Data_ML[[#This Row],[cpuName]])</f>
        <v>Snapdragon 888</v>
      </c>
      <c r="L34">
        <f>YEAR(Data_ML[[#This Row],[release_date]])</f>
        <v>2021</v>
      </c>
    </row>
    <row r="35" spans="1:12" x14ac:dyDescent="0.3">
      <c r="A35" t="s">
        <v>304</v>
      </c>
      <c r="B35" t="s">
        <v>14</v>
      </c>
      <c r="C35" t="s">
        <v>305</v>
      </c>
      <c r="D35">
        <v>8</v>
      </c>
      <c r="E35">
        <v>2000</v>
      </c>
      <c r="F35">
        <v>281</v>
      </c>
      <c r="G35">
        <v>810</v>
      </c>
      <c r="H35">
        <v>1093</v>
      </c>
      <c r="I35">
        <v>2021</v>
      </c>
      <c r="J35" s="1">
        <v>44197</v>
      </c>
      <c r="K35" t="str">
        <f>TRIM(Data_ML[[#This Row],[cpuName]])</f>
        <v>Dimensity 1200</v>
      </c>
      <c r="L35">
        <f>YEAR(Data_ML[[#This Row],[release_date]])</f>
        <v>2021</v>
      </c>
    </row>
    <row r="36" spans="1:12" x14ac:dyDescent="0.3">
      <c r="A36" t="s">
        <v>306</v>
      </c>
      <c r="B36" t="s">
        <v>14</v>
      </c>
      <c r="C36" t="s">
        <v>307</v>
      </c>
      <c r="D36">
        <v>8</v>
      </c>
      <c r="E36">
        <v>2000</v>
      </c>
      <c r="F36">
        <v>273</v>
      </c>
      <c r="G36">
        <v>792</v>
      </c>
      <c r="H36">
        <v>999</v>
      </c>
      <c r="I36">
        <v>2020</v>
      </c>
      <c r="J36" s="1">
        <v>43831</v>
      </c>
      <c r="K36" t="str">
        <f>TRIM(Data_ML[[#This Row],[cpuName]])</f>
        <v>Dimensity 1000+</v>
      </c>
      <c r="L36">
        <f>YEAR(Data_ML[[#This Row],[release_date]])</f>
        <v>2020</v>
      </c>
    </row>
    <row r="37" spans="1:12" x14ac:dyDescent="0.3">
      <c r="A37" t="s">
        <v>308</v>
      </c>
      <c r="B37" t="s">
        <v>14</v>
      </c>
      <c r="C37" t="s">
        <v>305</v>
      </c>
      <c r="D37">
        <v>8</v>
      </c>
      <c r="E37">
        <v>2000</v>
      </c>
      <c r="F37">
        <v>323</v>
      </c>
      <c r="G37">
        <v>1097</v>
      </c>
      <c r="H37">
        <v>941</v>
      </c>
      <c r="I37">
        <v>2021</v>
      </c>
      <c r="J37" s="1">
        <v>44197</v>
      </c>
      <c r="K37" t="str">
        <f>TRIM(Data_ML[[#This Row],[cpuName]])</f>
        <v>Dimensity 1200</v>
      </c>
      <c r="L37">
        <f>YEAR(Data_ML[[#This Row],[release_date]])</f>
        <v>2021</v>
      </c>
    </row>
    <row r="38" spans="1:12" x14ac:dyDescent="0.3">
      <c r="A38" t="s">
        <v>309</v>
      </c>
      <c r="B38" t="s">
        <v>16</v>
      </c>
      <c r="C38" t="s">
        <v>310</v>
      </c>
      <c r="D38">
        <v>8</v>
      </c>
      <c r="E38">
        <v>1804</v>
      </c>
      <c r="F38">
        <v>422</v>
      </c>
      <c r="G38">
        <v>1417</v>
      </c>
      <c r="H38">
        <v>876</v>
      </c>
      <c r="I38">
        <v>2020</v>
      </c>
      <c r="J38" s="1">
        <v>43831</v>
      </c>
      <c r="K38" t="str">
        <f>TRIM(Data_ML[[#This Row],[cpuName]])</f>
        <v>Snapdragon 865+</v>
      </c>
      <c r="L38">
        <f>YEAR(Data_ML[[#This Row],[release_date]])</f>
        <v>2020</v>
      </c>
    </row>
    <row r="39" spans="1:12" x14ac:dyDescent="0.3">
      <c r="A39" t="s">
        <v>311</v>
      </c>
      <c r="B39" t="s">
        <v>14</v>
      </c>
      <c r="C39" t="s">
        <v>307</v>
      </c>
      <c r="D39">
        <v>8</v>
      </c>
      <c r="E39">
        <v>2000</v>
      </c>
      <c r="F39">
        <v>351</v>
      </c>
      <c r="G39">
        <v>1348</v>
      </c>
      <c r="H39">
        <v>869</v>
      </c>
      <c r="I39">
        <v>2020</v>
      </c>
      <c r="J39" s="1">
        <v>43831</v>
      </c>
      <c r="K39" t="str">
        <f>TRIM(Data_ML[[#This Row],[cpuName]])</f>
        <v>Dimensity 1000+</v>
      </c>
      <c r="L39">
        <f>YEAR(Data_ML[[#This Row],[release_date]])</f>
        <v>2020</v>
      </c>
    </row>
    <row r="40" spans="1:12" x14ac:dyDescent="0.3">
      <c r="A40" t="s">
        <v>312</v>
      </c>
      <c r="B40" t="s">
        <v>16</v>
      </c>
      <c r="C40" t="s">
        <v>286</v>
      </c>
      <c r="D40">
        <v>8</v>
      </c>
      <c r="E40">
        <v>1804</v>
      </c>
      <c r="F40">
        <v>447</v>
      </c>
      <c r="G40">
        <v>1810</v>
      </c>
      <c r="H40">
        <v>856</v>
      </c>
      <c r="I40">
        <v>2021</v>
      </c>
      <c r="J40" s="1">
        <v>44197</v>
      </c>
      <c r="K40" t="str">
        <f>TRIM(Data_ML[[#This Row],[cpuName]])</f>
        <v>Snapdragon 888</v>
      </c>
      <c r="L40">
        <f>YEAR(Data_ML[[#This Row],[release_date]])</f>
        <v>2021</v>
      </c>
    </row>
    <row r="41" spans="1:12" x14ac:dyDescent="0.3">
      <c r="A41" t="s">
        <v>313</v>
      </c>
      <c r="B41" t="s">
        <v>14</v>
      </c>
      <c r="C41" t="s">
        <v>305</v>
      </c>
      <c r="D41">
        <v>8</v>
      </c>
      <c r="E41">
        <v>2000</v>
      </c>
      <c r="F41">
        <v>250</v>
      </c>
      <c r="G41">
        <v>790</v>
      </c>
      <c r="H41">
        <v>848</v>
      </c>
      <c r="I41">
        <v>2021</v>
      </c>
      <c r="J41" s="1">
        <v>44197</v>
      </c>
      <c r="K41" t="str">
        <f>TRIM(Data_ML[[#This Row],[cpuName]])</f>
        <v>Dimensity 1200</v>
      </c>
      <c r="L41">
        <f>YEAR(Data_ML[[#This Row],[release_date]])</f>
        <v>2021</v>
      </c>
    </row>
    <row r="42" spans="1:12" x14ac:dyDescent="0.3">
      <c r="A42" t="s">
        <v>314</v>
      </c>
      <c r="B42" t="s">
        <v>16</v>
      </c>
      <c r="C42" t="s">
        <v>315</v>
      </c>
      <c r="D42">
        <v>8</v>
      </c>
      <c r="E42">
        <v>1804</v>
      </c>
      <c r="F42">
        <v>357</v>
      </c>
      <c r="G42">
        <v>886</v>
      </c>
      <c r="H42">
        <v>809</v>
      </c>
      <c r="I42">
        <v>2021</v>
      </c>
      <c r="J42" s="1">
        <v>44197</v>
      </c>
      <c r="K42" t="str">
        <f>TRIM(Data_ML[[#This Row],[cpuName]])</f>
        <v>Snapdragon 778G</v>
      </c>
      <c r="L42">
        <f>YEAR(Data_ML[[#This Row],[release_date]])</f>
        <v>2021</v>
      </c>
    </row>
    <row r="43" spans="1:12" x14ac:dyDescent="0.3">
      <c r="A43" t="s">
        <v>316</v>
      </c>
      <c r="B43" t="s">
        <v>16</v>
      </c>
      <c r="C43" t="s">
        <v>286</v>
      </c>
      <c r="D43">
        <v>8</v>
      </c>
      <c r="E43">
        <v>1804</v>
      </c>
      <c r="F43">
        <v>395</v>
      </c>
      <c r="G43">
        <v>1604</v>
      </c>
      <c r="H43">
        <v>795</v>
      </c>
      <c r="I43">
        <v>2021</v>
      </c>
      <c r="J43" s="1">
        <v>44197</v>
      </c>
      <c r="K43" t="str">
        <f>TRIM(Data_ML[[#This Row],[cpuName]])</f>
        <v>Snapdragon 888</v>
      </c>
      <c r="L43">
        <f>YEAR(Data_ML[[#This Row],[release_date]])</f>
        <v>2021</v>
      </c>
    </row>
    <row r="44" spans="1:12" x14ac:dyDescent="0.3">
      <c r="A44" t="s">
        <v>317</v>
      </c>
      <c r="B44" t="s">
        <v>16</v>
      </c>
      <c r="C44" t="s">
        <v>286</v>
      </c>
      <c r="D44">
        <v>8</v>
      </c>
      <c r="E44">
        <v>1804</v>
      </c>
      <c r="F44">
        <v>398</v>
      </c>
      <c r="G44">
        <v>1688</v>
      </c>
      <c r="H44">
        <v>789</v>
      </c>
      <c r="I44">
        <v>2021</v>
      </c>
      <c r="J44" s="1">
        <v>44197</v>
      </c>
      <c r="K44" t="str">
        <f>TRIM(Data_ML[[#This Row],[cpuName]])</f>
        <v>Snapdragon 888</v>
      </c>
      <c r="L44">
        <f>YEAR(Data_ML[[#This Row],[release_date]])</f>
        <v>2021</v>
      </c>
    </row>
    <row r="45" spans="1:12" x14ac:dyDescent="0.3">
      <c r="A45" t="s">
        <v>318</v>
      </c>
      <c r="B45" t="s">
        <v>16</v>
      </c>
      <c r="C45" t="s">
        <v>319</v>
      </c>
      <c r="D45">
        <v>8</v>
      </c>
      <c r="E45">
        <v>1804</v>
      </c>
      <c r="F45">
        <v>378</v>
      </c>
      <c r="G45">
        <v>1346</v>
      </c>
      <c r="H45">
        <v>785</v>
      </c>
      <c r="I45">
        <v>2021</v>
      </c>
      <c r="J45" s="1">
        <v>44197</v>
      </c>
      <c r="K45" t="str">
        <f>TRIM(Data_ML[[#This Row],[cpuName]])</f>
        <v>Snapdragon 870</v>
      </c>
      <c r="L45">
        <f>YEAR(Data_ML[[#This Row],[release_date]])</f>
        <v>2021</v>
      </c>
    </row>
    <row r="46" spans="1:12" x14ac:dyDescent="0.3">
      <c r="A46" t="s">
        <v>320</v>
      </c>
      <c r="B46" t="s">
        <v>16</v>
      </c>
      <c r="C46" t="s">
        <v>286</v>
      </c>
      <c r="D46">
        <v>8</v>
      </c>
      <c r="E46">
        <v>1804</v>
      </c>
      <c r="F46">
        <v>389</v>
      </c>
      <c r="G46">
        <v>1589</v>
      </c>
      <c r="H46">
        <v>776</v>
      </c>
      <c r="I46">
        <v>2021</v>
      </c>
      <c r="J46" s="1">
        <v>44197</v>
      </c>
      <c r="K46" t="str">
        <f>TRIM(Data_ML[[#This Row],[cpuName]])</f>
        <v>Snapdragon 888</v>
      </c>
      <c r="L46">
        <f>YEAR(Data_ML[[#This Row],[release_date]])</f>
        <v>2021</v>
      </c>
    </row>
    <row r="47" spans="1:12" x14ac:dyDescent="0.3">
      <c r="A47" t="s">
        <v>321</v>
      </c>
      <c r="B47" t="s">
        <v>16</v>
      </c>
      <c r="C47" t="s">
        <v>322</v>
      </c>
      <c r="D47">
        <v>8</v>
      </c>
      <c r="E47">
        <v>1804</v>
      </c>
      <c r="F47">
        <v>434</v>
      </c>
      <c r="G47">
        <v>1365</v>
      </c>
      <c r="H47">
        <v>773</v>
      </c>
      <c r="I47">
        <v>2020</v>
      </c>
      <c r="J47" s="1">
        <v>43831</v>
      </c>
      <c r="K47" t="str">
        <f>TRIM(Data_ML[[#This Row],[cpuName]])</f>
        <v>Snapdragon 865</v>
      </c>
      <c r="L47">
        <f>YEAR(Data_ML[[#This Row],[release_date]])</f>
        <v>2020</v>
      </c>
    </row>
    <row r="48" spans="1:12" x14ac:dyDescent="0.3">
      <c r="A48" t="s">
        <v>323</v>
      </c>
      <c r="B48" t="s">
        <v>16</v>
      </c>
      <c r="C48" t="s">
        <v>319</v>
      </c>
      <c r="D48">
        <v>8</v>
      </c>
      <c r="E48">
        <v>1804</v>
      </c>
      <c r="F48">
        <v>390</v>
      </c>
      <c r="G48">
        <v>1357</v>
      </c>
      <c r="H48">
        <v>761</v>
      </c>
      <c r="I48">
        <v>2021</v>
      </c>
      <c r="J48" s="1">
        <v>44197</v>
      </c>
      <c r="K48" t="str">
        <f>TRIM(Data_ML[[#This Row],[cpuName]])</f>
        <v>Snapdragon 870</v>
      </c>
      <c r="L48">
        <f>YEAR(Data_ML[[#This Row],[release_date]])</f>
        <v>2021</v>
      </c>
    </row>
    <row r="49" spans="1:12" x14ac:dyDescent="0.3">
      <c r="A49" t="s">
        <v>324</v>
      </c>
      <c r="B49" t="s">
        <v>16</v>
      </c>
      <c r="C49" t="s">
        <v>319</v>
      </c>
      <c r="D49">
        <v>8</v>
      </c>
      <c r="E49">
        <v>1804</v>
      </c>
      <c r="F49">
        <v>390</v>
      </c>
      <c r="G49">
        <v>789</v>
      </c>
      <c r="H49">
        <v>753</v>
      </c>
      <c r="I49">
        <v>2021</v>
      </c>
      <c r="J49" s="1">
        <v>44197</v>
      </c>
      <c r="K49" t="str">
        <f>TRIM(Data_ML[[#This Row],[cpuName]])</f>
        <v>Snapdragon 870</v>
      </c>
      <c r="L49">
        <f>YEAR(Data_ML[[#This Row],[release_date]])</f>
        <v>2021</v>
      </c>
    </row>
    <row r="50" spans="1:12" x14ac:dyDescent="0.3">
      <c r="A50" t="s">
        <v>325</v>
      </c>
      <c r="B50" t="s">
        <v>16</v>
      </c>
      <c r="C50" t="s">
        <v>319</v>
      </c>
      <c r="D50">
        <v>8</v>
      </c>
      <c r="E50">
        <v>1804</v>
      </c>
      <c r="F50">
        <v>395</v>
      </c>
      <c r="G50">
        <v>1340</v>
      </c>
      <c r="H50">
        <v>735</v>
      </c>
      <c r="I50">
        <v>2021</v>
      </c>
      <c r="J50" s="1">
        <v>44197</v>
      </c>
      <c r="K50" t="str">
        <f>TRIM(Data_ML[[#This Row],[cpuName]])</f>
        <v>Snapdragon 870</v>
      </c>
      <c r="L50">
        <f>YEAR(Data_ML[[#This Row],[release_date]])</f>
        <v>2021</v>
      </c>
    </row>
    <row r="51" spans="1:12" x14ac:dyDescent="0.3">
      <c r="A51" t="s">
        <v>326</v>
      </c>
      <c r="B51" t="s">
        <v>16</v>
      </c>
      <c r="C51" t="s">
        <v>319</v>
      </c>
      <c r="D51">
        <v>8</v>
      </c>
      <c r="E51">
        <v>1804</v>
      </c>
      <c r="F51">
        <v>386</v>
      </c>
      <c r="G51">
        <v>1348</v>
      </c>
      <c r="H51">
        <v>729</v>
      </c>
      <c r="I51">
        <v>2021</v>
      </c>
      <c r="J51" s="1">
        <v>44197</v>
      </c>
      <c r="K51" t="str">
        <f>TRIM(Data_ML[[#This Row],[cpuName]])</f>
        <v>Snapdragon 870</v>
      </c>
      <c r="L51">
        <f>YEAR(Data_ML[[#This Row],[release_date]])</f>
        <v>2021</v>
      </c>
    </row>
    <row r="52" spans="1:12" x14ac:dyDescent="0.3">
      <c r="A52" t="s">
        <v>327</v>
      </c>
      <c r="B52" t="s">
        <v>16</v>
      </c>
      <c r="C52" t="s">
        <v>322</v>
      </c>
      <c r="D52">
        <v>8</v>
      </c>
      <c r="E52">
        <v>1804</v>
      </c>
      <c r="F52">
        <v>401</v>
      </c>
      <c r="G52">
        <v>1267</v>
      </c>
      <c r="H52">
        <v>722</v>
      </c>
      <c r="I52">
        <v>2020</v>
      </c>
      <c r="J52" s="1">
        <v>43831</v>
      </c>
      <c r="K52" t="str">
        <f>TRIM(Data_ML[[#This Row],[cpuName]])</f>
        <v>Snapdragon 865</v>
      </c>
      <c r="L52">
        <f>YEAR(Data_ML[[#This Row],[release_date]])</f>
        <v>2020</v>
      </c>
    </row>
    <row r="53" spans="1:12" x14ac:dyDescent="0.3">
      <c r="A53" t="s">
        <v>328</v>
      </c>
      <c r="B53" t="s">
        <v>16</v>
      </c>
      <c r="C53" t="s">
        <v>322</v>
      </c>
      <c r="D53">
        <v>8</v>
      </c>
      <c r="E53">
        <v>1804</v>
      </c>
      <c r="F53">
        <v>400</v>
      </c>
      <c r="G53">
        <v>1252</v>
      </c>
      <c r="H53">
        <v>721</v>
      </c>
      <c r="I53">
        <v>2020</v>
      </c>
      <c r="J53" s="1">
        <v>43831</v>
      </c>
      <c r="K53" t="str">
        <f>TRIM(Data_ML[[#This Row],[cpuName]])</f>
        <v>Snapdragon 865</v>
      </c>
      <c r="L53">
        <f>YEAR(Data_ML[[#This Row],[release_date]])</f>
        <v>2020</v>
      </c>
    </row>
    <row r="54" spans="1:12" x14ac:dyDescent="0.3">
      <c r="A54" t="s">
        <v>329</v>
      </c>
      <c r="B54" t="s">
        <v>16</v>
      </c>
      <c r="C54" t="s">
        <v>319</v>
      </c>
      <c r="D54">
        <v>8</v>
      </c>
      <c r="E54">
        <v>1804</v>
      </c>
      <c r="F54">
        <v>377</v>
      </c>
      <c r="G54">
        <v>1322</v>
      </c>
      <c r="H54">
        <v>720</v>
      </c>
      <c r="I54">
        <v>2021</v>
      </c>
      <c r="J54" s="1">
        <v>44197</v>
      </c>
      <c r="K54" t="str">
        <f>TRIM(Data_ML[[#This Row],[cpuName]])</f>
        <v>Snapdragon 870</v>
      </c>
      <c r="L54">
        <f>YEAR(Data_ML[[#This Row],[release_date]])</f>
        <v>2021</v>
      </c>
    </row>
    <row r="55" spans="1:12" x14ac:dyDescent="0.3">
      <c r="A55" t="s">
        <v>330</v>
      </c>
      <c r="B55" t="s">
        <v>16</v>
      </c>
      <c r="C55" t="s">
        <v>322</v>
      </c>
      <c r="D55">
        <v>8</v>
      </c>
      <c r="E55">
        <v>1804</v>
      </c>
      <c r="F55">
        <v>378</v>
      </c>
      <c r="G55">
        <v>1258</v>
      </c>
      <c r="H55">
        <v>715</v>
      </c>
      <c r="I55">
        <v>2020</v>
      </c>
      <c r="J55" s="1">
        <v>43831</v>
      </c>
      <c r="K55" t="str">
        <f>TRIM(Data_ML[[#This Row],[cpuName]])</f>
        <v>Snapdragon 865</v>
      </c>
      <c r="L55">
        <f>YEAR(Data_ML[[#This Row],[release_date]])</f>
        <v>2020</v>
      </c>
    </row>
    <row r="56" spans="1:12" x14ac:dyDescent="0.3">
      <c r="A56" t="s">
        <v>331</v>
      </c>
      <c r="B56" t="s">
        <v>16</v>
      </c>
      <c r="C56" t="s">
        <v>322</v>
      </c>
      <c r="D56">
        <v>8</v>
      </c>
      <c r="E56">
        <v>1804</v>
      </c>
      <c r="F56">
        <v>374</v>
      </c>
      <c r="G56">
        <v>1250</v>
      </c>
      <c r="H56">
        <v>709</v>
      </c>
      <c r="I56">
        <v>2020</v>
      </c>
      <c r="J56" s="1">
        <v>43831</v>
      </c>
      <c r="K56" t="str">
        <f>TRIM(Data_ML[[#This Row],[cpuName]])</f>
        <v>Snapdragon 865</v>
      </c>
      <c r="L56">
        <f>YEAR(Data_ML[[#This Row],[release_date]])</f>
        <v>2020</v>
      </c>
    </row>
    <row r="57" spans="1:12" x14ac:dyDescent="0.3">
      <c r="A57" t="s">
        <v>332</v>
      </c>
      <c r="B57" t="s">
        <v>16</v>
      </c>
      <c r="C57" t="s">
        <v>315</v>
      </c>
      <c r="D57">
        <v>8</v>
      </c>
      <c r="E57">
        <v>1804</v>
      </c>
      <c r="F57">
        <v>347</v>
      </c>
      <c r="G57">
        <v>857</v>
      </c>
      <c r="H57">
        <v>708</v>
      </c>
      <c r="I57">
        <v>2021</v>
      </c>
      <c r="J57" s="1">
        <v>44197</v>
      </c>
      <c r="K57" t="str">
        <f>TRIM(Data_ML[[#This Row],[cpuName]])</f>
        <v>Snapdragon 778G</v>
      </c>
      <c r="L57">
        <f>YEAR(Data_ML[[#This Row],[release_date]])</f>
        <v>2021</v>
      </c>
    </row>
    <row r="58" spans="1:12" x14ac:dyDescent="0.3">
      <c r="A58" t="s">
        <v>333</v>
      </c>
      <c r="B58" t="s">
        <v>16</v>
      </c>
      <c r="C58" t="s">
        <v>334</v>
      </c>
      <c r="D58">
        <v>8</v>
      </c>
      <c r="E58">
        <v>1785</v>
      </c>
      <c r="F58">
        <v>325</v>
      </c>
      <c r="G58">
        <v>1019</v>
      </c>
      <c r="H58">
        <v>706</v>
      </c>
      <c r="I58">
        <v>2019</v>
      </c>
      <c r="J58" s="1">
        <v>43466</v>
      </c>
      <c r="K58" t="str">
        <f>TRIM(Data_ML[[#This Row],[cpuName]])</f>
        <v>Snapdragon 855</v>
      </c>
      <c r="L58">
        <f>YEAR(Data_ML[[#This Row],[release_date]])</f>
        <v>2019</v>
      </c>
    </row>
    <row r="59" spans="1:12" x14ac:dyDescent="0.3">
      <c r="A59" t="s">
        <v>335</v>
      </c>
      <c r="B59" t="s">
        <v>16</v>
      </c>
      <c r="C59" t="s">
        <v>322</v>
      </c>
      <c r="D59">
        <v>8</v>
      </c>
      <c r="E59">
        <v>1804</v>
      </c>
      <c r="F59">
        <v>384</v>
      </c>
      <c r="G59">
        <v>1259</v>
      </c>
      <c r="H59">
        <v>702</v>
      </c>
      <c r="I59">
        <v>2020</v>
      </c>
      <c r="J59" s="1">
        <v>43831</v>
      </c>
      <c r="K59" t="str">
        <f>TRIM(Data_ML[[#This Row],[cpuName]])</f>
        <v>Snapdragon 865</v>
      </c>
      <c r="L59">
        <f>YEAR(Data_ML[[#This Row],[release_date]])</f>
        <v>2020</v>
      </c>
    </row>
    <row r="60" spans="1:12" x14ac:dyDescent="0.3">
      <c r="A60" t="s">
        <v>336</v>
      </c>
      <c r="B60" t="s">
        <v>16</v>
      </c>
      <c r="C60" t="s">
        <v>322</v>
      </c>
      <c r="D60">
        <v>8</v>
      </c>
      <c r="E60">
        <v>1804</v>
      </c>
      <c r="F60">
        <v>386</v>
      </c>
      <c r="G60">
        <v>1265</v>
      </c>
      <c r="H60">
        <v>700</v>
      </c>
      <c r="I60">
        <v>2020</v>
      </c>
      <c r="J60" s="1">
        <v>43831</v>
      </c>
      <c r="K60" t="str">
        <f>TRIM(Data_ML[[#This Row],[cpuName]])</f>
        <v>Snapdragon 865</v>
      </c>
      <c r="L60">
        <f>YEAR(Data_ML[[#This Row],[release_date]])</f>
        <v>2020</v>
      </c>
    </row>
    <row r="61" spans="1:12" x14ac:dyDescent="0.3">
      <c r="A61" t="s">
        <v>337</v>
      </c>
      <c r="B61" t="s">
        <v>16</v>
      </c>
      <c r="C61" t="s">
        <v>322</v>
      </c>
      <c r="D61">
        <v>8</v>
      </c>
      <c r="E61">
        <v>1804</v>
      </c>
      <c r="F61">
        <v>399</v>
      </c>
      <c r="G61">
        <v>1316</v>
      </c>
      <c r="H61">
        <v>697</v>
      </c>
      <c r="I61">
        <v>2020</v>
      </c>
      <c r="J61" s="1">
        <v>43831</v>
      </c>
      <c r="K61" t="str">
        <f>TRIM(Data_ML[[#This Row],[cpuName]])</f>
        <v>Snapdragon 865</v>
      </c>
      <c r="L61">
        <f>YEAR(Data_ML[[#This Row],[release_date]])</f>
        <v>2020</v>
      </c>
    </row>
    <row r="62" spans="1:12" x14ac:dyDescent="0.3">
      <c r="A62" t="s">
        <v>338</v>
      </c>
      <c r="B62" t="s">
        <v>16</v>
      </c>
      <c r="C62" t="s">
        <v>310</v>
      </c>
      <c r="D62">
        <v>8</v>
      </c>
      <c r="E62">
        <v>1804</v>
      </c>
      <c r="F62">
        <v>380</v>
      </c>
      <c r="G62">
        <v>1315</v>
      </c>
      <c r="H62">
        <v>695</v>
      </c>
      <c r="I62">
        <v>2020</v>
      </c>
      <c r="J62" s="1">
        <v>43831</v>
      </c>
      <c r="K62" t="str">
        <f>TRIM(Data_ML[[#This Row],[cpuName]])</f>
        <v>Snapdragon 865+</v>
      </c>
      <c r="L62">
        <f>YEAR(Data_ML[[#This Row],[release_date]])</f>
        <v>2020</v>
      </c>
    </row>
    <row r="63" spans="1:12" x14ac:dyDescent="0.3">
      <c r="A63" t="s">
        <v>339</v>
      </c>
      <c r="B63" t="s">
        <v>16</v>
      </c>
      <c r="C63" t="s">
        <v>322</v>
      </c>
      <c r="D63">
        <v>8</v>
      </c>
      <c r="E63">
        <v>1804</v>
      </c>
      <c r="F63">
        <v>373</v>
      </c>
      <c r="G63">
        <v>1219</v>
      </c>
      <c r="H63">
        <v>687</v>
      </c>
      <c r="I63">
        <v>2020</v>
      </c>
      <c r="J63" s="1">
        <v>43831</v>
      </c>
      <c r="K63" t="str">
        <f>TRIM(Data_ML[[#This Row],[cpuName]])</f>
        <v>Snapdragon 865</v>
      </c>
      <c r="L63">
        <f>YEAR(Data_ML[[#This Row],[release_date]])</f>
        <v>2020</v>
      </c>
    </row>
    <row r="64" spans="1:12" x14ac:dyDescent="0.3">
      <c r="A64" t="s">
        <v>340</v>
      </c>
      <c r="B64" t="s">
        <v>16</v>
      </c>
      <c r="C64" t="s">
        <v>322</v>
      </c>
      <c r="D64">
        <v>8</v>
      </c>
      <c r="E64">
        <v>1804</v>
      </c>
      <c r="F64">
        <v>405</v>
      </c>
      <c r="G64">
        <v>1232</v>
      </c>
      <c r="H64">
        <v>685</v>
      </c>
      <c r="I64">
        <v>2020</v>
      </c>
      <c r="J64" s="1">
        <v>43831</v>
      </c>
      <c r="K64" t="str">
        <f>TRIM(Data_ML[[#This Row],[cpuName]])</f>
        <v>Snapdragon 865</v>
      </c>
      <c r="L64">
        <f>YEAR(Data_ML[[#This Row],[release_date]])</f>
        <v>2020</v>
      </c>
    </row>
    <row r="65" spans="1:12" x14ac:dyDescent="0.3">
      <c r="A65" t="s">
        <v>341</v>
      </c>
      <c r="B65" t="s">
        <v>16</v>
      </c>
      <c r="C65" t="s">
        <v>322</v>
      </c>
      <c r="D65">
        <v>8</v>
      </c>
      <c r="E65">
        <v>1804</v>
      </c>
      <c r="F65">
        <v>390</v>
      </c>
      <c r="G65">
        <v>1355</v>
      </c>
      <c r="H65">
        <v>685</v>
      </c>
      <c r="I65">
        <v>2020</v>
      </c>
      <c r="J65" s="1">
        <v>43831</v>
      </c>
      <c r="K65" t="str">
        <f>TRIM(Data_ML[[#This Row],[cpuName]])</f>
        <v>Snapdragon 865</v>
      </c>
      <c r="L65">
        <f>YEAR(Data_ML[[#This Row],[release_date]])</f>
        <v>2020</v>
      </c>
    </row>
    <row r="66" spans="1:12" x14ac:dyDescent="0.3">
      <c r="A66" t="s">
        <v>342</v>
      </c>
      <c r="B66" t="s">
        <v>16</v>
      </c>
      <c r="C66" t="s">
        <v>310</v>
      </c>
      <c r="D66">
        <v>8</v>
      </c>
      <c r="E66">
        <v>1804</v>
      </c>
      <c r="F66">
        <v>401</v>
      </c>
      <c r="G66">
        <v>1283</v>
      </c>
      <c r="H66">
        <v>684</v>
      </c>
      <c r="I66">
        <v>2020</v>
      </c>
      <c r="J66" s="1">
        <v>43831</v>
      </c>
      <c r="K66" t="str">
        <f>TRIM(Data_ML[[#This Row],[cpuName]])</f>
        <v>Snapdragon 865+</v>
      </c>
      <c r="L66">
        <f>YEAR(Data_ML[[#This Row],[release_date]])</f>
        <v>2020</v>
      </c>
    </row>
    <row r="67" spans="1:12" x14ac:dyDescent="0.3">
      <c r="A67" t="s">
        <v>343</v>
      </c>
      <c r="B67" t="s">
        <v>16</v>
      </c>
      <c r="C67" t="s">
        <v>322</v>
      </c>
      <c r="D67">
        <v>8</v>
      </c>
      <c r="E67">
        <v>1804</v>
      </c>
      <c r="F67">
        <v>393</v>
      </c>
      <c r="G67">
        <v>1353</v>
      </c>
      <c r="H67">
        <v>683</v>
      </c>
      <c r="I67">
        <v>2020</v>
      </c>
      <c r="J67" s="1">
        <v>43831</v>
      </c>
      <c r="K67" t="str">
        <f>TRIM(Data_ML[[#This Row],[cpuName]])</f>
        <v>Snapdragon 865</v>
      </c>
      <c r="L67">
        <f>YEAR(Data_ML[[#This Row],[release_date]])</f>
        <v>2020</v>
      </c>
    </row>
    <row r="68" spans="1:12" x14ac:dyDescent="0.3">
      <c r="A68" t="s">
        <v>344</v>
      </c>
      <c r="B68" t="s">
        <v>16</v>
      </c>
      <c r="C68" t="s">
        <v>334</v>
      </c>
      <c r="D68">
        <v>8</v>
      </c>
      <c r="E68">
        <v>1785</v>
      </c>
      <c r="F68">
        <v>318</v>
      </c>
      <c r="G68">
        <v>994</v>
      </c>
      <c r="H68">
        <v>666</v>
      </c>
      <c r="I68">
        <v>2019</v>
      </c>
      <c r="J68" s="1">
        <v>43466</v>
      </c>
      <c r="K68" t="str">
        <f>TRIM(Data_ML[[#This Row],[cpuName]])</f>
        <v>Snapdragon 855</v>
      </c>
      <c r="L68">
        <f>YEAR(Data_ML[[#This Row],[release_date]])</f>
        <v>2019</v>
      </c>
    </row>
    <row r="69" spans="1:12" x14ac:dyDescent="0.3">
      <c r="A69" t="s">
        <v>345</v>
      </c>
      <c r="B69" t="s">
        <v>16</v>
      </c>
      <c r="C69" t="s">
        <v>334</v>
      </c>
      <c r="D69">
        <v>8</v>
      </c>
      <c r="E69">
        <v>1785</v>
      </c>
      <c r="F69">
        <v>338</v>
      </c>
      <c r="G69">
        <v>1029</v>
      </c>
      <c r="H69">
        <v>644</v>
      </c>
      <c r="I69">
        <v>2019</v>
      </c>
      <c r="J69" s="1">
        <v>43466</v>
      </c>
      <c r="K69" t="str">
        <f>TRIM(Data_ML[[#This Row],[cpuName]])</f>
        <v>Snapdragon 855</v>
      </c>
      <c r="L69">
        <f>YEAR(Data_ML[[#This Row],[release_date]])</f>
        <v>2019</v>
      </c>
    </row>
    <row r="70" spans="1:12" x14ac:dyDescent="0.3">
      <c r="A70" t="s">
        <v>346</v>
      </c>
      <c r="B70" t="s">
        <v>16</v>
      </c>
      <c r="C70" t="s">
        <v>334</v>
      </c>
      <c r="D70">
        <v>8</v>
      </c>
      <c r="E70">
        <v>1785</v>
      </c>
      <c r="F70">
        <v>348</v>
      </c>
      <c r="G70">
        <v>1132</v>
      </c>
      <c r="H70">
        <v>643</v>
      </c>
      <c r="I70">
        <v>2019</v>
      </c>
      <c r="J70" s="1">
        <v>43466</v>
      </c>
      <c r="K70" t="str">
        <f>TRIM(Data_ML[[#This Row],[cpuName]])</f>
        <v>Snapdragon 855</v>
      </c>
      <c r="L70">
        <f>YEAR(Data_ML[[#This Row],[release_date]])</f>
        <v>2019</v>
      </c>
    </row>
    <row r="71" spans="1:12" x14ac:dyDescent="0.3">
      <c r="A71" t="s">
        <v>347</v>
      </c>
      <c r="B71" t="s">
        <v>16</v>
      </c>
      <c r="C71" t="s">
        <v>286</v>
      </c>
      <c r="D71">
        <v>8</v>
      </c>
      <c r="E71">
        <v>1804</v>
      </c>
      <c r="F71">
        <v>413</v>
      </c>
      <c r="G71">
        <v>1638</v>
      </c>
      <c r="H71">
        <v>635</v>
      </c>
      <c r="I71">
        <v>2021</v>
      </c>
      <c r="J71" s="1">
        <v>44197</v>
      </c>
      <c r="K71" t="str">
        <f>TRIM(Data_ML[[#This Row],[cpuName]])</f>
        <v>Snapdragon 888</v>
      </c>
      <c r="L71">
        <f>YEAR(Data_ML[[#This Row],[release_date]])</f>
        <v>2021</v>
      </c>
    </row>
    <row r="72" spans="1:12" x14ac:dyDescent="0.3">
      <c r="A72" t="s">
        <v>348</v>
      </c>
      <c r="B72" t="s">
        <v>16</v>
      </c>
      <c r="C72" t="s">
        <v>334</v>
      </c>
      <c r="D72">
        <v>8</v>
      </c>
      <c r="E72">
        <v>1785</v>
      </c>
      <c r="F72">
        <v>331</v>
      </c>
      <c r="G72">
        <v>1039</v>
      </c>
      <c r="H72">
        <v>610</v>
      </c>
      <c r="I72">
        <v>2019</v>
      </c>
      <c r="J72" s="1">
        <v>43466</v>
      </c>
      <c r="K72" t="str">
        <f>TRIM(Data_ML[[#This Row],[cpuName]])</f>
        <v>Snapdragon 855</v>
      </c>
      <c r="L72">
        <f>YEAR(Data_ML[[#This Row],[release_date]])</f>
        <v>2019</v>
      </c>
    </row>
    <row r="73" spans="1:12" x14ac:dyDescent="0.3">
      <c r="A73" t="s">
        <v>349</v>
      </c>
      <c r="B73" t="s">
        <v>16</v>
      </c>
      <c r="C73" t="s">
        <v>350</v>
      </c>
      <c r="D73">
        <v>8</v>
      </c>
      <c r="E73">
        <v>1785</v>
      </c>
      <c r="F73">
        <v>317</v>
      </c>
      <c r="G73">
        <v>1157</v>
      </c>
      <c r="H73">
        <v>609</v>
      </c>
      <c r="I73">
        <v>2019</v>
      </c>
      <c r="J73" s="1">
        <v>43466</v>
      </c>
      <c r="K73" t="str">
        <f>TRIM(Data_ML[[#This Row],[cpuName]])</f>
        <v>Snapdragon 855+</v>
      </c>
      <c r="L73">
        <f>YEAR(Data_ML[[#This Row],[release_date]])</f>
        <v>2019</v>
      </c>
    </row>
    <row r="74" spans="1:12" x14ac:dyDescent="0.3">
      <c r="A74" t="s">
        <v>351</v>
      </c>
      <c r="B74" t="s">
        <v>16</v>
      </c>
      <c r="C74" t="s">
        <v>322</v>
      </c>
      <c r="D74">
        <v>8</v>
      </c>
      <c r="E74">
        <v>1804</v>
      </c>
      <c r="F74">
        <v>386</v>
      </c>
      <c r="G74">
        <v>1201</v>
      </c>
      <c r="H74">
        <v>604</v>
      </c>
      <c r="I74">
        <v>2020</v>
      </c>
      <c r="J74" s="1">
        <v>43831</v>
      </c>
      <c r="K74" t="str">
        <f>TRIM(Data_ML[[#This Row],[cpuName]])</f>
        <v>Snapdragon 865</v>
      </c>
      <c r="L74">
        <f>YEAR(Data_ML[[#This Row],[release_date]])</f>
        <v>2020</v>
      </c>
    </row>
    <row r="75" spans="1:12" x14ac:dyDescent="0.3">
      <c r="A75" t="s">
        <v>352</v>
      </c>
      <c r="B75" t="s">
        <v>16</v>
      </c>
      <c r="C75" t="s">
        <v>334</v>
      </c>
      <c r="D75">
        <v>8</v>
      </c>
      <c r="E75">
        <v>1785</v>
      </c>
      <c r="F75">
        <v>301</v>
      </c>
      <c r="G75">
        <v>1087</v>
      </c>
      <c r="H75">
        <v>598</v>
      </c>
      <c r="I75">
        <v>2019</v>
      </c>
      <c r="J75" s="1">
        <v>43466</v>
      </c>
      <c r="K75" t="str">
        <f>TRIM(Data_ML[[#This Row],[cpuName]])</f>
        <v>Snapdragon 855</v>
      </c>
      <c r="L75">
        <f>YEAR(Data_ML[[#This Row],[release_date]])</f>
        <v>2019</v>
      </c>
    </row>
    <row r="76" spans="1:12" x14ac:dyDescent="0.3">
      <c r="A76" t="s">
        <v>353</v>
      </c>
      <c r="B76" t="s">
        <v>16</v>
      </c>
      <c r="C76" t="s">
        <v>354</v>
      </c>
      <c r="D76">
        <v>8</v>
      </c>
      <c r="E76">
        <v>1785</v>
      </c>
      <c r="F76">
        <v>319</v>
      </c>
      <c r="G76">
        <v>1145</v>
      </c>
      <c r="H76">
        <v>591</v>
      </c>
      <c r="I76">
        <v>2021</v>
      </c>
      <c r="J76" s="1">
        <v>44197</v>
      </c>
      <c r="K76" t="str">
        <f>TRIM(Data_ML[[#This Row],[cpuName]])</f>
        <v>Snapdragon 860</v>
      </c>
      <c r="L76">
        <f>YEAR(Data_ML[[#This Row],[release_date]])</f>
        <v>2021</v>
      </c>
    </row>
    <row r="77" spans="1:12" x14ac:dyDescent="0.3">
      <c r="A77" t="s">
        <v>355</v>
      </c>
      <c r="B77" t="s">
        <v>16</v>
      </c>
      <c r="C77" t="s">
        <v>334</v>
      </c>
      <c r="D77">
        <v>8</v>
      </c>
      <c r="E77">
        <v>1785</v>
      </c>
      <c r="F77">
        <v>325</v>
      </c>
      <c r="G77">
        <v>1065</v>
      </c>
      <c r="H77">
        <v>577</v>
      </c>
      <c r="I77">
        <v>2019</v>
      </c>
      <c r="J77" s="1">
        <v>43466</v>
      </c>
      <c r="K77" t="str">
        <f>TRIM(Data_ML[[#This Row],[cpuName]])</f>
        <v>Snapdragon 855</v>
      </c>
      <c r="L77">
        <f>YEAR(Data_ML[[#This Row],[release_date]])</f>
        <v>2019</v>
      </c>
    </row>
    <row r="78" spans="1:12" x14ac:dyDescent="0.3">
      <c r="A78" t="s">
        <v>356</v>
      </c>
      <c r="B78" t="s">
        <v>7</v>
      </c>
      <c r="C78" t="s">
        <v>357</v>
      </c>
      <c r="D78">
        <v>6</v>
      </c>
      <c r="E78">
        <v>2340</v>
      </c>
      <c r="F78">
        <v>598</v>
      </c>
      <c r="G78">
        <v>1048</v>
      </c>
      <c r="H78">
        <v>569</v>
      </c>
      <c r="I78">
        <v>2017</v>
      </c>
      <c r="J78" s="1">
        <v>42736</v>
      </c>
      <c r="K78" t="str">
        <f>TRIM(Data_ML[[#This Row],[cpuName]])</f>
        <v>A10X Fusion</v>
      </c>
      <c r="L78">
        <f>YEAR(Data_ML[[#This Row],[release_date]])</f>
        <v>2017</v>
      </c>
    </row>
    <row r="79" spans="1:12" x14ac:dyDescent="0.3">
      <c r="A79" t="s">
        <v>358</v>
      </c>
      <c r="B79" t="s">
        <v>7</v>
      </c>
      <c r="C79" t="s">
        <v>357</v>
      </c>
      <c r="D79">
        <v>6</v>
      </c>
      <c r="E79">
        <v>2340</v>
      </c>
      <c r="F79">
        <v>617</v>
      </c>
      <c r="G79">
        <v>1059</v>
      </c>
      <c r="H79">
        <v>566</v>
      </c>
      <c r="I79">
        <v>2017</v>
      </c>
      <c r="J79" s="1">
        <v>42736</v>
      </c>
      <c r="K79" t="str">
        <f>TRIM(Data_ML[[#This Row],[cpuName]])</f>
        <v>A10X Fusion</v>
      </c>
      <c r="L79">
        <f>YEAR(Data_ML[[#This Row],[release_date]])</f>
        <v>2017</v>
      </c>
    </row>
    <row r="80" spans="1:12" x14ac:dyDescent="0.3">
      <c r="A80" t="s">
        <v>359</v>
      </c>
      <c r="B80" t="s">
        <v>16</v>
      </c>
      <c r="C80" t="s">
        <v>350</v>
      </c>
      <c r="D80">
        <v>8</v>
      </c>
      <c r="E80">
        <v>1785</v>
      </c>
      <c r="F80">
        <v>316</v>
      </c>
      <c r="G80">
        <v>1146</v>
      </c>
      <c r="H80">
        <v>564</v>
      </c>
      <c r="I80">
        <v>2019</v>
      </c>
      <c r="J80" s="1">
        <v>43466</v>
      </c>
      <c r="K80" t="str">
        <f>TRIM(Data_ML[[#This Row],[cpuName]])</f>
        <v>Snapdragon 855+</v>
      </c>
      <c r="L80">
        <f>YEAR(Data_ML[[#This Row],[release_date]])</f>
        <v>2019</v>
      </c>
    </row>
    <row r="81" spans="1:12" x14ac:dyDescent="0.3">
      <c r="A81" t="s">
        <v>360</v>
      </c>
      <c r="B81" t="s">
        <v>16</v>
      </c>
      <c r="C81" t="s">
        <v>334</v>
      </c>
      <c r="D81">
        <v>8</v>
      </c>
      <c r="E81">
        <v>1785</v>
      </c>
      <c r="F81">
        <v>315</v>
      </c>
      <c r="G81">
        <v>1044</v>
      </c>
      <c r="H81">
        <v>555</v>
      </c>
      <c r="I81">
        <v>2019</v>
      </c>
      <c r="J81" s="1">
        <v>43466</v>
      </c>
      <c r="K81" t="str">
        <f>TRIM(Data_ML[[#This Row],[cpuName]])</f>
        <v>Snapdragon 855</v>
      </c>
      <c r="L81">
        <f>YEAR(Data_ML[[#This Row],[release_date]])</f>
        <v>2019</v>
      </c>
    </row>
    <row r="82" spans="1:12" x14ac:dyDescent="0.3">
      <c r="A82" t="s">
        <v>361</v>
      </c>
      <c r="B82" t="s">
        <v>16</v>
      </c>
      <c r="C82" t="s">
        <v>350</v>
      </c>
      <c r="D82">
        <v>8</v>
      </c>
      <c r="E82">
        <v>1785</v>
      </c>
      <c r="F82">
        <v>299</v>
      </c>
      <c r="G82">
        <v>1033</v>
      </c>
      <c r="H82">
        <v>543</v>
      </c>
      <c r="I82">
        <v>2019</v>
      </c>
      <c r="J82" s="1">
        <v>43466</v>
      </c>
      <c r="K82" t="str">
        <f>TRIM(Data_ML[[#This Row],[cpuName]])</f>
        <v>Snapdragon 855+</v>
      </c>
      <c r="L82">
        <f>YEAR(Data_ML[[#This Row],[release_date]])</f>
        <v>2019</v>
      </c>
    </row>
    <row r="83" spans="1:12" x14ac:dyDescent="0.3">
      <c r="A83" t="s">
        <v>362</v>
      </c>
      <c r="B83" t="s">
        <v>16</v>
      </c>
      <c r="C83" t="s">
        <v>334</v>
      </c>
      <c r="D83">
        <v>8</v>
      </c>
      <c r="E83">
        <v>1785</v>
      </c>
      <c r="F83">
        <v>315</v>
      </c>
      <c r="G83">
        <v>1066</v>
      </c>
      <c r="H83">
        <v>533</v>
      </c>
      <c r="I83">
        <v>2019</v>
      </c>
      <c r="J83" s="1">
        <v>43466</v>
      </c>
      <c r="K83" t="str">
        <f>TRIM(Data_ML[[#This Row],[cpuName]])</f>
        <v>Snapdragon 855</v>
      </c>
      <c r="L83">
        <f>YEAR(Data_ML[[#This Row],[release_date]])</f>
        <v>2019</v>
      </c>
    </row>
    <row r="84" spans="1:12" x14ac:dyDescent="0.3">
      <c r="A84" t="s">
        <v>363</v>
      </c>
      <c r="B84" t="s">
        <v>16</v>
      </c>
      <c r="C84" t="s">
        <v>350</v>
      </c>
      <c r="D84">
        <v>8</v>
      </c>
      <c r="E84">
        <v>1785</v>
      </c>
      <c r="F84">
        <v>310</v>
      </c>
      <c r="G84">
        <v>1078</v>
      </c>
      <c r="H84">
        <v>533</v>
      </c>
      <c r="I84">
        <v>2019</v>
      </c>
      <c r="J84" s="1">
        <v>43466</v>
      </c>
      <c r="K84" t="str">
        <f>TRIM(Data_ML[[#This Row],[cpuName]])</f>
        <v>Snapdragon 855+</v>
      </c>
      <c r="L84">
        <f>YEAR(Data_ML[[#This Row],[release_date]])</f>
        <v>2019</v>
      </c>
    </row>
    <row r="85" spans="1:12" x14ac:dyDescent="0.3">
      <c r="A85" t="s">
        <v>364</v>
      </c>
      <c r="B85" t="s">
        <v>16</v>
      </c>
      <c r="C85" t="s">
        <v>334</v>
      </c>
      <c r="D85">
        <v>8</v>
      </c>
      <c r="E85">
        <v>1785</v>
      </c>
      <c r="F85">
        <v>296</v>
      </c>
      <c r="G85">
        <v>1049</v>
      </c>
      <c r="H85">
        <v>523</v>
      </c>
      <c r="I85">
        <v>2019</v>
      </c>
      <c r="J85" s="1">
        <v>43466</v>
      </c>
      <c r="K85" t="str">
        <f>TRIM(Data_ML[[#This Row],[cpuName]])</f>
        <v>Snapdragon 855</v>
      </c>
      <c r="L85">
        <f>YEAR(Data_ML[[#This Row],[release_date]])</f>
        <v>2019</v>
      </c>
    </row>
    <row r="86" spans="1:12" x14ac:dyDescent="0.3">
      <c r="A86" t="s">
        <v>365</v>
      </c>
      <c r="B86" t="s">
        <v>16</v>
      </c>
      <c r="C86" t="s">
        <v>334</v>
      </c>
      <c r="D86">
        <v>8</v>
      </c>
      <c r="E86">
        <v>1785</v>
      </c>
      <c r="F86">
        <v>313</v>
      </c>
      <c r="G86">
        <v>1067</v>
      </c>
      <c r="H86">
        <v>517</v>
      </c>
      <c r="I86">
        <v>2019</v>
      </c>
      <c r="J86" s="1">
        <v>43466</v>
      </c>
      <c r="K86" t="str">
        <f>TRIM(Data_ML[[#This Row],[cpuName]])</f>
        <v>Snapdragon 855</v>
      </c>
      <c r="L86">
        <f>YEAR(Data_ML[[#This Row],[release_date]])</f>
        <v>2019</v>
      </c>
    </row>
    <row r="87" spans="1:12" x14ac:dyDescent="0.3">
      <c r="A87" t="s">
        <v>366</v>
      </c>
      <c r="B87" t="s">
        <v>16</v>
      </c>
      <c r="C87" t="s">
        <v>334</v>
      </c>
      <c r="D87">
        <v>8</v>
      </c>
      <c r="E87">
        <v>1785</v>
      </c>
      <c r="F87">
        <v>299</v>
      </c>
      <c r="G87">
        <v>1019</v>
      </c>
      <c r="H87">
        <v>493</v>
      </c>
      <c r="I87">
        <v>2019</v>
      </c>
      <c r="J87" s="1">
        <v>43466</v>
      </c>
      <c r="K87" t="str">
        <f>TRIM(Data_ML[[#This Row],[cpuName]])</f>
        <v>Snapdragon 855</v>
      </c>
      <c r="L87">
        <f>YEAR(Data_ML[[#This Row],[release_date]])</f>
        <v>2019</v>
      </c>
    </row>
    <row r="88" spans="1:12" x14ac:dyDescent="0.3">
      <c r="A88" t="s">
        <v>367</v>
      </c>
      <c r="B88" t="s">
        <v>16</v>
      </c>
      <c r="C88" t="s">
        <v>334</v>
      </c>
      <c r="D88">
        <v>8</v>
      </c>
      <c r="E88">
        <v>1785</v>
      </c>
      <c r="F88">
        <v>321</v>
      </c>
      <c r="G88">
        <v>921</v>
      </c>
      <c r="H88">
        <v>489</v>
      </c>
      <c r="I88">
        <v>2019</v>
      </c>
      <c r="J88" s="1">
        <v>43466</v>
      </c>
      <c r="K88" t="str">
        <f>TRIM(Data_ML[[#This Row],[cpuName]])</f>
        <v>Snapdragon 855</v>
      </c>
      <c r="L88">
        <f>YEAR(Data_ML[[#This Row],[release_date]])</f>
        <v>2019</v>
      </c>
    </row>
    <row r="89" spans="1:12" x14ac:dyDescent="0.3">
      <c r="A89" t="s">
        <v>368</v>
      </c>
      <c r="B89" t="s">
        <v>16</v>
      </c>
      <c r="C89" t="s">
        <v>369</v>
      </c>
      <c r="D89">
        <v>8</v>
      </c>
      <c r="E89">
        <v>1804</v>
      </c>
      <c r="F89">
        <v>221</v>
      </c>
      <c r="G89">
        <v>1058</v>
      </c>
      <c r="H89">
        <v>478</v>
      </c>
      <c r="I89">
        <v>2019</v>
      </c>
      <c r="J89" s="1">
        <v>43466</v>
      </c>
      <c r="K89" t="str">
        <f>TRIM(Data_ML[[#This Row],[cpuName]])</f>
        <v>Snapdragon 730</v>
      </c>
      <c r="L89">
        <f>YEAR(Data_ML[[#This Row],[release_date]])</f>
        <v>2019</v>
      </c>
    </row>
    <row r="90" spans="1:12" x14ac:dyDescent="0.3">
      <c r="A90" t="s">
        <v>370</v>
      </c>
      <c r="B90" t="s">
        <v>17</v>
      </c>
      <c r="C90" t="s">
        <v>371</v>
      </c>
      <c r="D90">
        <v>8</v>
      </c>
      <c r="E90">
        <v>2002</v>
      </c>
      <c r="F90">
        <v>297</v>
      </c>
      <c r="G90">
        <v>1049</v>
      </c>
      <c r="H90">
        <v>471</v>
      </c>
      <c r="I90">
        <v>2020</v>
      </c>
      <c r="J90" s="1">
        <v>43831</v>
      </c>
      <c r="K90" t="str">
        <f>TRIM(Data_ML[[#This Row],[cpuName]])</f>
        <v>Exynos 990</v>
      </c>
      <c r="L90">
        <f>YEAR(Data_ML[[#This Row],[release_date]])</f>
        <v>2020</v>
      </c>
    </row>
    <row r="91" spans="1:12" x14ac:dyDescent="0.3">
      <c r="A91" t="s">
        <v>372</v>
      </c>
      <c r="B91" t="s">
        <v>7</v>
      </c>
      <c r="C91" t="s">
        <v>373</v>
      </c>
      <c r="D91">
        <v>6</v>
      </c>
      <c r="E91">
        <v>2390</v>
      </c>
      <c r="F91">
        <v>411</v>
      </c>
      <c r="G91">
        <v>861</v>
      </c>
      <c r="H91">
        <v>433</v>
      </c>
      <c r="I91">
        <v>2017</v>
      </c>
      <c r="J91" s="1">
        <v>42736</v>
      </c>
      <c r="K91" t="str">
        <f>TRIM(Data_ML[[#This Row],[cpuName]])</f>
        <v>A11 Bionic</v>
      </c>
      <c r="L91">
        <f>YEAR(Data_ML[[#This Row],[release_date]])</f>
        <v>2017</v>
      </c>
    </row>
    <row r="92" spans="1:12" x14ac:dyDescent="0.3">
      <c r="A92" t="s">
        <v>374</v>
      </c>
      <c r="B92" t="s">
        <v>7</v>
      </c>
      <c r="C92" t="s">
        <v>373</v>
      </c>
      <c r="D92">
        <v>6</v>
      </c>
      <c r="E92">
        <v>2390</v>
      </c>
      <c r="F92">
        <v>403</v>
      </c>
      <c r="G92">
        <v>864</v>
      </c>
      <c r="H92">
        <v>433</v>
      </c>
      <c r="I92">
        <v>2017</v>
      </c>
      <c r="J92" s="1">
        <v>42736</v>
      </c>
      <c r="K92" t="str">
        <f>TRIM(Data_ML[[#This Row],[cpuName]])</f>
        <v>A11 Bionic</v>
      </c>
      <c r="L92">
        <f>YEAR(Data_ML[[#This Row],[release_date]])</f>
        <v>2017</v>
      </c>
    </row>
    <row r="93" spans="1:12" x14ac:dyDescent="0.3">
      <c r="A93" t="s">
        <v>375</v>
      </c>
      <c r="B93" t="s">
        <v>7</v>
      </c>
      <c r="C93" t="s">
        <v>373</v>
      </c>
      <c r="D93">
        <v>6</v>
      </c>
      <c r="E93">
        <v>2390</v>
      </c>
      <c r="F93">
        <v>408</v>
      </c>
      <c r="G93">
        <v>853</v>
      </c>
      <c r="H93">
        <v>425</v>
      </c>
      <c r="I93">
        <v>2017</v>
      </c>
      <c r="J93" s="1">
        <v>42736</v>
      </c>
      <c r="K93" t="str">
        <f>TRIM(Data_ML[[#This Row],[cpuName]])</f>
        <v>A11 Bionic</v>
      </c>
      <c r="L93">
        <f>YEAR(Data_ML[[#This Row],[release_date]])</f>
        <v>2017</v>
      </c>
    </row>
    <row r="94" spans="1:12" x14ac:dyDescent="0.3">
      <c r="A94" t="s">
        <v>376</v>
      </c>
      <c r="B94" t="s">
        <v>16</v>
      </c>
      <c r="C94" t="s">
        <v>377</v>
      </c>
      <c r="D94">
        <v>8</v>
      </c>
      <c r="E94">
        <v>1766</v>
      </c>
      <c r="F94">
        <v>201</v>
      </c>
      <c r="G94">
        <v>807</v>
      </c>
      <c r="H94">
        <v>424</v>
      </c>
      <c r="I94">
        <v>2018</v>
      </c>
      <c r="J94" s="1">
        <v>43101</v>
      </c>
      <c r="K94" t="str">
        <f>TRIM(Data_ML[[#This Row],[cpuName]])</f>
        <v>Snapdragon 845</v>
      </c>
      <c r="L94">
        <f>YEAR(Data_ML[[#This Row],[release_date]])</f>
        <v>2018</v>
      </c>
    </row>
    <row r="95" spans="1:12" x14ac:dyDescent="0.3">
      <c r="A95" t="s">
        <v>378</v>
      </c>
      <c r="B95" t="s">
        <v>12</v>
      </c>
      <c r="C95" t="s">
        <v>379</v>
      </c>
      <c r="D95">
        <v>8</v>
      </c>
      <c r="E95">
        <v>2045</v>
      </c>
      <c r="F95">
        <v>441</v>
      </c>
      <c r="G95">
        <v>1290</v>
      </c>
      <c r="H95">
        <v>417</v>
      </c>
      <c r="I95">
        <v>2020</v>
      </c>
      <c r="J95" s="1">
        <v>43831</v>
      </c>
      <c r="K95" t="str">
        <f>TRIM(Data_ML[[#This Row],[cpuName]])</f>
        <v>Kirin 9000</v>
      </c>
      <c r="L95">
        <f>YEAR(Data_ML[[#This Row],[release_date]])</f>
        <v>2020</v>
      </c>
    </row>
    <row r="96" spans="1:12" x14ac:dyDescent="0.3">
      <c r="A96" t="s">
        <v>380</v>
      </c>
      <c r="B96" t="s">
        <v>17</v>
      </c>
      <c r="C96" t="s">
        <v>381</v>
      </c>
      <c r="D96">
        <v>8</v>
      </c>
      <c r="E96">
        <v>1804</v>
      </c>
      <c r="F96">
        <v>227</v>
      </c>
      <c r="G96">
        <v>605</v>
      </c>
      <c r="H96">
        <v>409</v>
      </c>
      <c r="I96">
        <v>2019</v>
      </c>
      <c r="J96" s="1">
        <v>43466</v>
      </c>
      <c r="K96" t="str">
        <f>TRIM(Data_ML[[#This Row],[cpuName]])</f>
        <v>Exynos 980</v>
      </c>
      <c r="L96">
        <f>YEAR(Data_ML[[#This Row],[release_date]])</f>
        <v>2019</v>
      </c>
    </row>
    <row r="97" spans="1:12" x14ac:dyDescent="0.3">
      <c r="A97" t="s">
        <v>382</v>
      </c>
      <c r="B97" t="s">
        <v>16</v>
      </c>
      <c r="C97" t="s">
        <v>383</v>
      </c>
      <c r="D97">
        <v>8</v>
      </c>
      <c r="E97">
        <v>1804</v>
      </c>
      <c r="F97">
        <v>260</v>
      </c>
      <c r="G97">
        <v>553</v>
      </c>
      <c r="H97">
        <v>403</v>
      </c>
      <c r="I97">
        <v>2020</v>
      </c>
      <c r="J97" s="1">
        <v>43831</v>
      </c>
      <c r="K97" t="str">
        <f>TRIM(Data_ML[[#This Row],[cpuName]])</f>
        <v>Snapdragon 750G</v>
      </c>
      <c r="L97">
        <f>YEAR(Data_ML[[#This Row],[release_date]])</f>
        <v>2020</v>
      </c>
    </row>
    <row r="98" spans="1:12" x14ac:dyDescent="0.3">
      <c r="A98" t="s">
        <v>384</v>
      </c>
      <c r="B98" t="s">
        <v>7</v>
      </c>
      <c r="C98" t="s">
        <v>385</v>
      </c>
      <c r="D98">
        <v>4</v>
      </c>
      <c r="E98">
        <v>2320</v>
      </c>
      <c r="F98">
        <v>425</v>
      </c>
      <c r="G98">
        <v>716</v>
      </c>
      <c r="H98">
        <v>402</v>
      </c>
      <c r="I98">
        <v>2016</v>
      </c>
      <c r="J98" s="1">
        <v>42370</v>
      </c>
      <c r="K98" t="str">
        <f>TRIM(Data_ML[[#This Row],[cpuName]])</f>
        <v>A10 Fusion</v>
      </c>
      <c r="L98">
        <f>YEAR(Data_ML[[#This Row],[release_date]])</f>
        <v>2016</v>
      </c>
    </row>
    <row r="99" spans="1:12" x14ac:dyDescent="0.3">
      <c r="A99" t="s">
        <v>386</v>
      </c>
      <c r="B99" t="s">
        <v>16</v>
      </c>
      <c r="C99" t="s">
        <v>387</v>
      </c>
      <c r="D99">
        <v>8</v>
      </c>
      <c r="E99">
        <v>1804</v>
      </c>
      <c r="F99">
        <v>258</v>
      </c>
      <c r="G99">
        <v>620</v>
      </c>
      <c r="H99">
        <v>401</v>
      </c>
      <c r="I99">
        <v>2020</v>
      </c>
      <c r="J99" s="1">
        <v>43831</v>
      </c>
      <c r="K99" t="str">
        <f>TRIM(Data_ML[[#This Row],[cpuName]])</f>
        <v>Snapdragon 765G</v>
      </c>
      <c r="L99">
        <f>YEAR(Data_ML[[#This Row],[release_date]])</f>
        <v>2020</v>
      </c>
    </row>
    <row r="100" spans="1:12" x14ac:dyDescent="0.3">
      <c r="A100" t="s">
        <v>388</v>
      </c>
      <c r="B100" t="s">
        <v>14</v>
      </c>
      <c r="C100" t="s">
        <v>389</v>
      </c>
      <c r="D100">
        <v>8</v>
      </c>
      <c r="E100">
        <v>2000</v>
      </c>
      <c r="F100">
        <v>204</v>
      </c>
      <c r="G100">
        <v>544</v>
      </c>
      <c r="H100">
        <v>394</v>
      </c>
      <c r="I100">
        <v>2020</v>
      </c>
      <c r="J100" s="1">
        <v>43831</v>
      </c>
      <c r="K100" t="str">
        <f>TRIM(Data_ML[[#This Row],[cpuName]])</f>
        <v>Helio G95</v>
      </c>
      <c r="L100">
        <f>YEAR(Data_ML[[#This Row],[release_date]])</f>
        <v>2020</v>
      </c>
    </row>
    <row r="101" spans="1:12" x14ac:dyDescent="0.3">
      <c r="A101" t="s">
        <v>390</v>
      </c>
      <c r="B101" t="s">
        <v>7</v>
      </c>
      <c r="C101" t="s">
        <v>385</v>
      </c>
      <c r="D101">
        <v>4</v>
      </c>
      <c r="E101">
        <v>2320</v>
      </c>
      <c r="F101">
        <v>392</v>
      </c>
      <c r="G101">
        <v>709</v>
      </c>
      <c r="H101">
        <v>392</v>
      </c>
      <c r="I101">
        <v>2016</v>
      </c>
      <c r="J101" s="1">
        <v>42370</v>
      </c>
      <c r="K101" t="str">
        <f>TRIM(Data_ML[[#This Row],[cpuName]])</f>
        <v>A10 Fusion</v>
      </c>
      <c r="L101">
        <f>YEAR(Data_ML[[#This Row],[release_date]])</f>
        <v>2016</v>
      </c>
    </row>
    <row r="102" spans="1:12" x14ac:dyDescent="0.3">
      <c r="A102" t="s">
        <v>391</v>
      </c>
      <c r="B102" t="s">
        <v>16</v>
      </c>
      <c r="C102" t="s">
        <v>387</v>
      </c>
      <c r="D102">
        <v>8</v>
      </c>
      <c r="E102">
        <v>1804</v>
      </c>
      <c r="F102">
        <v>252</v>
      </c>
      <c r="G102">
        <v>641</v>
      </c>
      <c r="H102">
        <v>391</v>
      </c>
      <c r="I102">
        <v>2020</v>
      </c>
      <c r="J102" s="1">
        <v>43831</v>
      </c>
      <c r="K102" t="str">
        <f>TRIM(Data_ML[[#This Row],[cpuName]])</f>
        <v>Snapdragon 765G</v>
      </c>
      <c r="L102">
        <f>YEAR(Data_ML[[#This Row],[release_date]])</f>
        <v>2020</v>
      </c>
    </row>
    <row r="103" spans="1:12" x14ac:dyDescent="0.3">
      <c r="A103" t="s">
        <v>392</v>
      </c>
      <c r="B103" t="s">
        <v>7</v>
      </c>
      <c r="C103" t="s">
        <v>385</v>
      </c>
      <c r="D103">
        <v>4</v>
      </c>
      <c r="E103">
        <v>2340</v>
      </c>
      <c r="F103">
        <v>357</v>
      </c>
      <c r="G103">
        <v>677</v>
      </c>
      <c r="H103">
        <v>384</v>
      </c>
      <c r="I103">
        <v>2016</v>
      </c>
      <c r="J103" s="1">
        <v>42370</v>
      </c>
      <c r="K103" t="str">
        <f>TRIM(Data_ML[[#This Row],[cpuName]])</f>
        <v>A10 Fusion</v>
      </c>
      <c r="L103">
        <f>YEAR(Data_ML[[#This Row],[release_date]])</f>
        <v>2016</v>
      </c>
    </row>
    <row r="104" spans="1:12" x14ac:dyDescent="0.3">
      <c r="A104" t="s">
        <v>393</v>
      </c>
      <c r="B104" t="s">
        <v>7</v>
      </c>
      <c r="C104" t="s">
        <v>385</v>
      </c>
      <c r="D104">
        <v>4</v>
      </c>
      <c r="E104">
        <v>2340</v>
      </c>
      <c r="F104">
        <v>354</v>
      </c>
      <c r="G104">
        <v>676</v>
      </c>
      <c r="H104">
        <v>382</v>
      </c>
      <c r="I104">
        <v>2016</v>
      </c>
      <c r="J104" s="1">
        <v>42370</v>
      </c>
      <c r="K104" t="str">
        <f>TRIM(Data_ML[[#This Row],[cpuName]])</f>
        <v>A10 Fusion</v>
      </c>
      <c r="L104">
        <f>YEAR(Data_ML[[#This Row],[release_date]])</f>
        <v>2016</v>
      </c>
    </row>
    <row r="105" spans="1:12" x14ac:dyDescent="0.3">
      <c r="A105" t="s">
        <v>394</v>
      </c>
      <c r="B105" t="s">
        <v>12</v>
      </c>
      <c r="C105" t="s">
        <v>395</v>
      </c>
      <c r="D105">
        <v>8</v>
      </c>
      <c r="E105">
        <v>1954</v>
      </c>
      <c r="F105">
        <v>378</v>
      </c>
      <c r="G105">
        <v>1035</v>
      </c>
      <c r="H105">
        <v>381</v>
      </c>
      <c r="I105">
        <v>2019</v>
      </c>
      <c r="J105" s="1">
        <v>43466</v>
      </c>
      <c r="K105" t="str">
        <f>TRIM(Data_ML[[#This Row],[cpuName]])</f>
        <v>Kirin 990</v>
      </c>
      <c r="L105">
        <f>YEAR(Data_ML[[#This Row],[release_date]])</f>
        <v>2019</v>
      </c>
    </row>
    <row r="106" spans="1:12" x14ac:dyDescent="0.3">
      <c r="A106" t="s">
        <v>396</v>
      </c>
      <c r="B106" t="s">
        <v>7</v>
      </c>
      <c r="C106" t="s">
        <v>397</v>
      </c>
      <c r="D106">
        <v>2</v>
      </c>
      <c r="E106">
        <v>2260</v>
      </c>
      <c r="F106">
        <v>376</v>
      </c>
      <c r="G106">
        <v>727</v>
      </c>
      <c r="H106">
        <v>380</v>
      </c>
      <c r="I106">
        <v>2015</v>
      </c>
      <c r="J106" s="1">
        <v>42005</v>
      </c>
      <c r="K106" t="str">
        <f>TRIM(Data_ML[[#This Row],[cpuName]])</f>
        <v>A9X</v>
      </c>
      <c r="L106">
        <f>YEAR(Data_ML[[#This Row],[release_date]])</f>
        <v>2015</v>
      </c>
    </row>
    <row r="107" spans="1:12" x14ac:dyDescent="0.3">
      <c r="A107" t="s">
        <v>398</v>
      </c>
      <c r="B107" t="s">
        <v>7</v>
      </c>
      <c r="C107" t="s">
        <v>397</v>
      </c>
      <c r="D107">
        <v>2</v>
      </c>
      <c r="E107">
        <v>2260</v>
      </c>
      <c r="F107">
        <v>360</v>
      </c>
      <c r="G107">
        <v>679</v>
      </c>
      <c r="H107">
        <v>364</v>
      </c>
      <c r="I107">
        <v>2015</v>
      </c>
      <c r="J107" s="1">
        <v>42005</v>
      </c>
      <c r="K107" t="str">
        <f>TRIM(Data_ML[[#This Row],[cpuName]])</f>
        <v>A9X</v>
      </c>
      <c r="L107">
        <f>YEAR(Data_ML[[#This Row],[release_date]])</f>
        <v>2015</v>
      </c>
    </row>
    <row r="108" spans="1:12" x14ac:dyDescent="0.3">
      <c r="A108" t="s">
        <v>399</v>
      </c>
      <c r="B108" t="s">
        <v>16</v>
      </c>
      <c r="C108" t="s">
        <v>387</v>
      </c>
      <c r="D108">
        <v>8</v>
      </c>
      <c r="E108">
        <v>1804</v>
      </c>
      <c r="F108">
        <v>245</v>
      </c>
      <c r="G108">
        <v>555</v>
      </c>
      <c r="H108">
        <v>364</v>
      </c>
      <c r="I108">
        <v>2020</v>
      </c>
      <c r="J108" s="1">
        <v>43831</v>
      </c>
      <c r="K108" t="str">
        <f>TRIM(Data_ML[[#This Row],[cpuName]])</f>
        <v>Snapdragon 765G</v>
      </c>
      <c r="L108">
        <f>YEAR(Data_ML[[#This Row],[release_date]])</f>
        <v>2020</v>
      </c>
    </row>
    <row r="109" spans="1:12" x14ac:dyDescent="0.3">
      <c r="A109" t="s">
        <v>400</v>
      </c>
      <c r="B109" t="s">
        <v>14</v>
      </c>
      <c r="C109" t="s">
        <v>389</v>
      </c>
      <c r="D109">
        <v>8</v>
      </c>
      <c r="E109">
        <v>2000</v>
      </c>
      <c r="F109">
        <v>217</v>
      </c>
      <c r="G109">
        <v>581</v>
      </c>
      <c r="H109">
        <v>362</v>
      </c>
      <c r="I109">
        <v>2020</v>
      </c>
      <c r="J109" s="1">
        <v>43831</v>
      </c>
      <c r="K109" t="str">
        <f>TRIM(Data_ML[[#This Row],[cpuName]])</f>
        <v>Helio G95</v>
      </c>
      <c r="L109">
        <f>YEAR(Data_ML[[#This Row],[release_date]])</f>
        <v>2020</v>
      </c>
    </row>
    <row r="110" spans="1:12" x14ac:dyDescent="0.3">
      <c r="A110" t="s">
        <v>401</v>
      </c>
      <c r="B110" t="s">
        <v>16</v>
      </c>
      <c r="C110" t="s">
        <v>377</v>
      </c>
      <c r="D110">
        <v>8</v>
      </c>
      <c r="E110">
        <v>1766</v>
      </c>
      <c r="F110">
        <v>221</v>
      </c>
      <c r="G110">
        <v>787</v>
      </c>
      <c r="H110">
        <v>351</v>
      </c>
      <c r="I110">
        <v>2018</v>
      </c>
      <c r="J110" s="1">
        <v>43101</v>
      </c>
      <c r="K110" t="str">
        <f>TRIM(Data_ML[[#This Row],[cpuName]])</f>
        <v>Snapdragon 845</v>
      </c>
      <c r="L110">
        <f>YEAR(Data_ML[[#This Row],[release_date]])</f>
        <v>2018</v>
      </c>
    </row>
    <row r="111" spans="1:12" x14ac:dyDescent="0.3">
      <c r="A111" t="s">
        <v>402</v>
      </c>
      <c r="B111" t="s">
        <v>12</v>
      </c>
      <c r="C111" t="s">
        <v>403</v>
      </c>
      <c r="D111">
        <v>8</v>
      </c>
      <c r="E111">
        <v>1805</v>
      </c>
      <c r="F111">
        <v>330</v>
      </c>
      <c r="G111">
        <v>945</v>
      </c>
      <c r="H111">
        <v>346</v>
      </c>
      <c r="I111">
        <v>2018</v>
      </c>
      <c r="J111" s="1">
        <v>43101</v>
      </c>
      <c r="K111" t="str">
        <f>TRIM(Data_ML[[#This Row],[cpuName]])</f>
        <v>Kirin 980</v>
      </c>
      <c r="L111">
        <f>YEAR(Data_ML[[#This Row],[release_date]])</f>
        <v>2018</v>
      </c>
    </row>
    <row r="112" spans="1:12" x14ac:dyDescent="0.3">
      <c r="A112" t="s">
        <v>404</v>
      </c>
      <c r="B112" t="s">
        <v>16</v>
      </c>
      <c r="C112" t="s">
        <v>377</v>
      </c>
      <c r="D112">
        <v>8</v>
      </c>
      <c r="E112">
        <v>1766</v>
      </c>
      <c r="F112">
        <v>229</v>
      </c>
      <c r="G112">
        <v>758</v>
      </c>
      <c r="H112">
        <v>344</v>
      </c>
      <c r="I112">
        <v>2018</v>
      </c>
      <c r="J112" s="1">
        <v>43101</v>
      </c>
      <c r="K112" t="str">
        <f>TRIM(Data_ML[[#This Row],[cpuName]])</f>
        <v>Snapdragon 845</v>
      </c>
      <c r="L112">
        <f>YEAR(Data_ML[[#This Row],[release_date]])</f>
        <v>2018</v>
      </c>
    </row>
    <row r="113" spans="1:12" x14ac:dyDescent="0.3">
      <c r="A113" t="s">
        <v>405</v>
      </c>
      <c r="B113" t="s">
        <v>17</v>
      </c>
      <c r="C113" t="s">
        <v>406</v>
      </c>
      <c r="D113">
        <v>8</v>
      </c>
      <c r="E113">
        <v>1950</v>
      </c>
      <c r="F113">
        <v>200</v>
      </c>
      <c r="G113">
        <v>818</v>
      </c>
      <c r="H113">
        <v>338</v>
      </c>
      <c r="I113">
        <v>2019</v>
      </c>
      <c r="J113" s="1">
        <v>43466</v>
      </c>
      <c r="K113" t="str">
        <f>TRIM(Data_ML[[#This Row],[cpuName]])</f>
        <v>Exynos 9825</v>
      </c>
      <c r="L113">
        <f>YEAR(Data_ML[[#This Row],[release_date]])</f>
        <v>2019</v>
      </c>
    </row>
    <row r="114" spans="1:12" x14ac:dyDescent="0.3">
      <c r="A114" t="s">
        <v>407</v>
      </c>
      <c r="B114" t="s">
        <v>16</v>
      </c>
      <c r="C114" t="s">
        <v>408</v>
      </c>
      <c r="D114">
        <v>8</v>
      </c>
      <c r="E114">
        <v>1804</v>
      </c>
      <c r="F114">
        <v>217</v>
      </c>
      <c r="G114">
        <v>502</v>
      </c>
      <c r="H114">
        <v>334</v>
      </c>
      <c r="I114">
        <v>2020</v>
      </c>
      <c r="J114" s="1">
        <v>43831</v>
      </c>
      <c r="K114" t="str">
        <f>TRIM(Data_ML[[#This Row],[cpuName]])</f>
        <v>Snapdragon 720G</v>
      </c>
      <c r="L114">
        <f>YEAR(Data_ML[[#This Row],[release_date]])</f>
        <v>2020</v>
      </c>
    </row>
    <row r="115" spans="1:12" x14ac:dyDescent="0.3">
      <c r="A115" t="s">
        <v>409</v>
      </c>
      <c r="B115" t="s">
        <v>16</v>
      </c>
      <c r="C115" t="s">
        <v>377</v>
      </c>
      <c r="D115">
        <v>8</v>
      </c>
      <c r="E115">
        <v>1766</v>
      </c>
      <c r="F115">
        <v>226</v>
      </c>
      <c r="G115">
        <v>751</v>
      </c>
      <c r="H115">
        <v>332</v>
      </c>
      <c r="I115">
        <v>2018</v>
      </c>
      <c r="J115" s="1">
        <v>43101</v>
      </c>
      <c r="K115" t="str">
        <f>TRIM(Data_ML[[#This Row],[cpuName]])</f>
        <v>Snapdragon 845</v>
      </c>
      <c r="L115">
        <f>YEAR(Data_ML[[#This Row],[release_date]])</f>
        <v>2018</v>
      </c>
    </row>
    <row r="116" spans="1:12" x14ac:dyDescent="0.3">
      <c r="A116" t="s">
        <v>410</v>
      </c>
      <c r="B116" t="s">
        <v>16</v>
      </c>
      <c r="C116" t="s">
        <v>411</v>
      </c>
      <c r="D116">
        <v>8</v>
      </c>
      <c r="E116">
        <v>1690</v>
      </c>
      <c r="F116">
        <v>225</v>
      </c>
      <c r="G116">
        <v>493</v>
      </c>
      <c r="H116">
        <v>329</v>
      </c>
      <c r="I116">
        <v>2019</v>
      </c>
      <c r="J116" s="1">
        <v>43466</v>
      </c>
      <c r="K116" t="str">
        <f>TRIM(Data_ML[[#This Row],[cpuName]])</f>
        <v>Snapdragon 730G</v>
      </c>
      <c r="L116">
        <f>YEAR(Data_ML[[#This Row],[release_date]])</f>
        <v>2019</v>
      </c>
    </row>
    <row r="117" spans="1:12" x14ac:dyDescent="0.3">
      <c r="A117" t="s">
        <v>412</v>
      </c>
      <c r="B117" t="s">
        <v>16</v>
      </c>
      <c r="C117" t="s">
        <v>315</v>
      </c>
      <c r="D117">
        <v>8</v>
      </c>
      <c r="E117">
        <v>1804</v>
      </c>
      <c r="F117">
        <v>370</v>
      </c>
      <c r="G117">
        <v>968</v>
      </c>
      <c r="H117">
        <v>325</v>
      </c>
      <c r="I117">
        <v>2021</v>
      </c>
      <c r="J117" s="1">
        <v>44197</v>
      </c>
      <c r="K117" t="str">
        <f>TRIM(Data_ML[[#This Row],[cpuName]])</f>
        <v>Snapdragon 778G</v>
      </c>
      <c r="L117">
        <f>YEAR(Data_ML[[#This Row],[release_date]])</f>
        <v>2021</v>
      </c>
    </row>
    <row r="118" spans="1:12" x14ac:dyDescent="0.3">
      <c r="A118" t="s">
        <v>413</v>
      </c>
      <c r="B118" t="s">
        <v>16</v>
      </c>
      <c r="C118" t="s">
        <v>408</v>
      </c>
      <c r="D118">
        <v>8</v>
      </c>
      <c r="E118">
        <v>1804</v>
      </c>
      <c r="F118">
        <v>213</v>
      </c>
      <c r="G118">
        <v>461</v>
      </c>
      <c r="H118">
        <v>325</v>
      </c>
      <c r="I118">
        <v>2020</v>
      </c>
      <c r="J118" s="1">
        <v>43831</v>
      </c>
      <c r="K118" t="str">
        <f>TRIM(Data_ML[[#This Row],[cpuName]])</f>
        <v>Snapdragon 720G</v>
      </c>
      <c r="L118">
        <f>YEAR(Data_ML[[#This Row],[release_date]])</f>
        <v>2020</v>
      </c>
    </row>
    <row r="119" spans="1:12" x14ac:dyDescent="0.3">
      <c r="A119" t="s">
        <v>414</v>
      </c>
      <c r="B119" t="s">
        <v>16</v>
      </c>
      <c r="C119" t="s">
        <v>415</v>
      </c>
      <c r="D119">
        <v>8</v>
      </c>
      <c r="E119">
        <v>1804</v>
      </c>
      <c r="F119">
        <v>225</v>
      </c>
      <c r="G119">
        <v>508</v>
      </c>
      <c r="H119">
        <v>323</v>
      </c>
      <c r="I119">
        <v>2020</v>
      </c>
      <c r="J119" s="1">
        <v>43831</v>
      </c>
      <c r="K119" t="str">
        <f>TRIM(Data_ML[[#This Row],[cpuName]])</f>
        <v>Snapdragon 732G</v>
      </c>
      <c r="L119">
        <f>YEAR(Data_ML[[#This Row],[release_date]])</f>
        <v>2020</v>
      </c>
    </row>
    <row r="120" spans="1:12" x14ac:dyDescent="0.3">
      <c r="A120" t="s">
        <v>416</v>
      </c>
      <c r="B120" t="s">
        <v>16</v>
      </c>
      <c r="C120" t="s">
        <v>369</v>
      </c>
      <c r="D120">
        <v>8</v>
      </c>
      <c r="E120">
        <v>1804</v>
      </c>
      <c r="F120">
        <v>223</v>
      </c>
      <c r="G120">
        <v>422</v>
      </c>
      <c r="H120">
        <v>323</v>
      </c>
      <c r="I120">
        <v>2019</v>
      </c>
      <c r="J120" s="1">
        <v>43466</v>
      </c>
      <c r="K120" t="str">
        <f>TRIM(Data_ML[[#This Row],[cpuName]])</f>
        <v>Snapdragon 730</v>
      </c>
      <c r="L120">
        <f>YEAR(Data_ML[[#This Row],[release_date]])</f>
        <v>2019</v>
      </c>
    </row>
    <row r="121" spans="1:12" x14ac:dyDescent="0.3">
      <c r="A121" t="s">
        <v>417</v>
      </c>
      <c r="B121" t="s">
        <v>12</v>
      </c>
      <c r="C121" t="s">
        <v>403</v>
      </c>
      <c r="D121">
        <v>8</v>
      </c>
      <c r="E121">
        <v>1805</v>
      </c>
      <c r="F121">
        <v>304</v>
      </c>
      <c r="G121">
        <v>853</v>
      </c>
      <c r="H121">
        <v>322</v>
      </c>
      <c r="I121">
        <v>2018</v>
      </c>
      <c r="J121" s="1">
        <v>43101</v>
      </c>
      <c r="K121" t="str">
        <f>TRIM(Data_ML[[#This Row],[cpuName]])</f>
        <v>Kirin 980</v>
      </c>
      <c r="L121">
        <f>YEAR(Data_ML[[#This Row],[release_date]])</f>
        <v>2018</v>
      </c>
    </row>
    <row r="122" spans="1:12" x14ac:dyDescent="0.3">
      <c r="A122" t="s">
        <v>418</v>
      </c>
      <c r="B122" t="s">
        <v>12</v>
      </c>
      <c r="C122" t="s">
        <v>403</v>
      </c>
      <c r="D122">
        <v>8</v>
      </c>
      <c r="E122">
        <v>1805</v>
      </c>
      <c r="F122">
        <v>309</v>
      </c>
      <c r="G122">
        <v>827</v>
      </c>
      <c r="H122">
        <v>316</v>
      </c>
      <c r="I122">
        <v>2018</v>
      </c>
      <c r="J122" s="1">
        <v>43101</v>
      </c>
      <c r="K122" t="str">
        <f>TRIM(Data_ML[[#This Row],[cpuName]])</f>
        <v>Kirin 980</v>
      </c>
      <c r="L122">
        <f>YEAR(Data_ML[[#This Row],[release_date]])</f>
        <v>2018</v>
      </c>
    </row>
    <row r="123" spans="1:12" x14ac:dyDescent="0.3">
      <c r="A123" t="s">
        <v>419</v>
      </c>
      <c r="B123" t="s">
        <v>12</v>
      </c>
      <c r="C123" t="s">
        <v>403</v>
      </c>
      <c r="D123">
        <v>8</v>
      </c>
      <c r="E123">
        <v>1805</v>
      </c>
      <c r="F123">
        <v>290</v>
      </c>
      <c r="G123">
        <v>824</v>
      </c>
      <c r="H123">
        <v>316</v>
      </c>
      <c r="I123">
        <v>2018</v>
      </c>
      <c r="J123" s="1">
        <v>43101</v>
      </c>
      <c r="K123" t="str">
        <f>TRIM(Data_ML[[#This Row],[cpuName]])</f>
        <v>Kirin 980</v>
      </c>
      <c r="L123">
        <f>YEAR(Data_ML[[#This Row],[release_date]])</f>
        <v>2018</v>
      </c>
    </row>
    <row r="124" spans="1:12" x14ac:dyDescent="0.3">
      <c r="A124" t="s">
        <v>420</v>
      </c>
      <c r="B124" t="s">
        <v>12</v>
      </c>
      <c r="C124" t="s">
        <v>403</v>
      </c>
      <c r="D124">
        <v>8</v>
      </c>
      <c r="E124">
        <v>1805</v>
      </c>
      <c r="F124">
        <v>283</v>
      </c>
      <c r="G124">
        <v>747</v>
      </c>
      <c r="H124">
        <v>313</v>
      </c>
      <c r="I124">
        <v>2018</v>
      </c>
      <c r="J124" s="1">
        <v>43101</v>
      </c>
      <c r="K124" t="str">
        <f>TRIM(Data_ML[[#This Row],[cpuName]])</f>
        <v>Kirin 980</v>
      </c>
      <c r="L124">
        <f>YEAR(Data_ML[[#This Row],[release_date]])</f>
        <v>2018</v>
      </c>
    </row>
    <row r="125" spans="1:12" x14ac:dyDescent="0.3">
      <c r="A125" t="s">
        <v>421</v>
      </c>
      <c r="B125" t="s">
        <v>7</v>
      </c>
      <c r="C125" t="s">
        <v>385</v>
      </c>
      <c r="D125">
        <v>4</v>
      </c>
      <c r="E125">
        <v>1633</v>
      </c>
      <c r="F125">
        <v>337</v>
      </c>
      <c r="G125">
        <v>551</v>
      </c>
      <c r="H125">
        <v>306</v>
      </c>
      <c r="I125">
        <v>2016</v>
      </c>
      <c r="J125" s="1">
        <v>42370</v>
      </c>
      <c r="K125" t="str">
        <f>TRIM(Data_ML[[#This Row],[cpuName]])</f>
        <v>A10 Fusion</v>
      </c>
      <c r="L125">
        <f>YEAR(Data_ML[[#This Row],[release_date]])</f>
        <v>2016</v>
      </c>
    </row>
    <row r="126" spans="1:12" x14ac:dyDescent="0.3">
      <c r="A126" t="s">
        <v>422</v>
      </c>
      <c r="B126" t="s">
        <v>12</v>
      </c>
      <c r="C126" t="s">
        <v>403</v>
      </c>
      <c r="D126">
        <v>8</v>
      </c>
      <c r="E126">
        <v>1805</v>
      </c>
      <c r="F126">
        <v>282</v>
      </c>
      <c r="G126">
        <v>813</v>
      </c>
      <c r="H126">
        <v>304</v>
      </c>
      <c r="I126">
        <v>2018</v>
      </c>
      <c r="J126" s="1">
        <v>43101</v>
      </c>
      <c r="K126" t="str">
        <f>TRIM(Data_ML[[#This Row],[cpuName]])</f>
        <v>Kirin 980</v>
      </c>
      <c r="L126">
        <f>YEAR(Data_ML[[#This Row],[release_date]])</f>
        <v>2018</v>
      </c>
    </row>
    <row r="127" spans="1:12" x14ac:dyDescent="0.3">
      <c r="A127" t="s">
        <v>423</v>
      </c>
      <c r="B127" t="s">
        <v>16</v>
      </c>
      <c r="C127" t="s">
        <v>377</v>
      </c>
      <c r="D127">
        <v>8</v>
      </c>
      <c r="E127">
        <v>1766</v>
      </c>
      <c r="F127">
        <v>218</v>
      </c>
      <c r="G127">
        <v>750</v>
      </c>
      <c r="H127">
        <v>304</v>
      </c>
      <c r="I127">
        <v>2018</v>
      </c>
      <c r="J127" s="1">
        <v>43101</v>
      </c>
      <c r="K127" t="str">
        <f>TRIM(Data_ML[[#This Row],[cpuName]])</f>
        <v>Snapdragon 845</v>
      </c>
      <c r="L127">
        <f>YEAR(Data_ML[[#This Row],[release_date]])</f>
        <v>2018</v>
      </c>
    </row>
    <row r="128" spans="1:12" x14ac:dyDescent="0.3">
      <c r="A128" t="s">
        <v>424</v>
      </c>
      <c r="B128" t="s">
        <v>16</v>
      </c>
      <c r="C128" t="s">
        <v>377</v>
      </c>
      <c r="D128">
        <v>8</v>
      </c>
      <c r="E128">
        <v>1766</v>
      </c>
      <c r="F128">
        <v>203</v>
      </c>
      <c r="G128">
        <v>771</v>
      </c>
      <c r="H128">
        <v>300</v>
      </c>
      <c r="I128">
        <v>2018</v>
      </c>
      <c r="J128" s="1">
        <v>43101</v>
      </c>
      <c r="K128" t="str">
        <f>TRIM(Data_ML[[#This Row],[cpuName]])</f>
        <v>Snapdragon 845</v>
      </c>
      <c r="L128">
        <f>YEAR(Data_ML[[#This Row],[release_date]])</f>
        <v>2018</v>
      </c>
    </row>
    <row r="129" spans="1:12" x14ac:dyDescent="0.3">
      <c r="A129" t="s">
        <v>425</v>
      </c>
      <c r="B129" t="s">
        <v>16</v>
      </c>
      <c r="C129" t="s">
        <v>377</v>
      </c>
      <c r="D129">
        <v>8</v>
      </c>
      <c r="E129">
        <v>1766</v>
      </c>
      <c r="F129">
        <v>194</v>
      </c>
      <c r="G129">
        <v>753</v>
      </c>
      <c r="H129">
        <v>294</v>
      </c>
      <c r="I129">
        <v>2018</v>
      </c>
      <c r="J129" s="1">
        <v>43101</v>
      </c>
      <c r="K129" t="str">
        <f>TRIM(Data_ML[[#This Row],[cpuName]])</f>
        <v>Snapdragon 845</v>
      </c>
      <c r="L129">
        <f>YEAR(Data_ML[[#This Row],[release_date]])</f>
        <v>2018</v>
      </c>
    </row>
    <row r="130" spans="1:12" x14ac:dyDescent="0.3">
      <c r="A130" t="s">
        <v>426</v>
      </c>
      <c r="B130" t="s">
        <v>17</v>
      </c>
      <c r="C130" t="s">
        <v>381</v>
      </c>
      <c r="D130">
        <v>8</v>
      </c>
      <c r="E130">
        <v>1794</v>
      </c>
      <c r="F130">
        <v>227</v>
      </c>
      <c r="G130">
        <v>673</v>
      </c>
      <c r="H130">
        <v>291</v>
      </c>
      <c r="I130">
        <v>2019</v>
      </c>
      <c r="J130" s="1">
        <v>43466</v>
      </c>
      <c r="K130" t="str">
        <f>TRIM(Data_ML[[#This Row],[cpuName]])</f>
        <v>Exynos 980</v>
      </c>
      <c r="L130">
        <f>YEAR(Data_ML[[#This Row],[release_date]])</f>
        <v>2019</v>
      </c>
    </row>
    <row r="131" spans="1:12" x14ac:dyDescent="0.3">
      <c r="A131" t="s">
        <v>427</v>
      </c>
      <c r="B131" t="s">
        <v>16</v>
      </c>
      <c r="C131" t="s">
        <v>415</v>
      </c>
      <c r="D131">
        <v>8</v>
      </c>
      <c r="E131">
        <v>1804</v>
      </c>
      <c r="F131">
        <v>213</v>
      </c>
      <c r="G131">
        <v>503</v>
      </c>
      <c r="H131">
        <v>291</v>
      </c>
      <c r="I131">
        <v>2020</v>
      </c>
      <c r="J131" s="1">
        <v>43831</v>
      </c>
      <c r="K131" t="str">
        <f>TRIM(Data_ML[[#This Row],[cpuName]])</f>
        <v>Snapdragon 732G</v>
      </c>
      <c r="L131">
        <f>YEAR(Data_ML[[#This Row],[release_date]])</f>
        <v>2020</v>
      </c>
    </row>
    <row r="132" spans="1:12" x14ac:dyDescent="0.3">
      <c r="A132" t="s">
        <v>428</v>
      </c>
      <c r="B132" t="s">
        <v>16</v>
      </c>
      <c r="C132" t="s">
        <v>377</v>
      </c>
      <c r="D132">
        <v>8</v>
      </c>
      <c r="E132">
        <v>1766</v>
      </c>
      <c r="F132">
        <v>209</v>
      </c>
      <c r="G132">
        <v>669</v>
      </c>
      <c r="H132">
        <v>285</v>
      </c>
      <c r="I132">
        <v>2018</v>
      </c>
      <c r="J132" s="1">
        <v>43101</v>
      </c>
      <c r="K132" t="str">
        <f>TRIM(Data_ML[[#This Row],[cpuName]])</f>
        <v>Snapdragon 845</v>
      </c>
      <c r="L132">
        <f>YEAR(Data_ML[[#This Row],[release_date]])</f>
        <v>2018</v>
      </c>
    </row>
    <row r="133" spans="1:12" x14ac:dyDescent="0.3">
      <c r="A133" t="s">
        <v>429</v>
      </c>
      <c r="B133" t="s">
        <v>7</v>
      </c>
      <c r="C133" t="s">
        <v>430</v>
      </c>
      <c r="D133">
        <v>2</v>
      </c>
      <c r="E133">
        <v>1800</v>
      </c>
      <c r="F133">
        <v>307</v>
      </c>
      <c r="G133">
        <v>522</v>
      </c>
      <c r="H133">
        <v>284</v>
      </c>
      <c r="I133">
        <v>2015</v>
      </c>
      <c r="J133" s="1">
        <v>42005</v>
      </c>
      <c r="K133" t="str">
        <f>TRIM(Data_ML[[#This Row],[cpuName]])</f>
        <v>A9</v>
      </c>
      <c r="L133">
        <f>YEAR(Data_ML[[#This Row],[release_date]])</f>
        <v>2015</v>
      </c>
    </row>
    <row r="134" spans="1:12" x14ac:dyDescent="0.3">
      <c r="A134" t="s">
        <v>431</v>
      </c>
      <c r="B134" t="s">
        <v>16</v>
      </c>
      <c r="C134" t="s">
        <v>408</v>
      </c>
      <c r="D134">
        <v>8</v>
      </c>
      <c r="E134">
        <v>1804</v>
      </c>
      <c r="F134">
        <v>224</v>
      </c>
      <c r="G134">
        <v>486</v>
      </c>
      <c r="H134">
        <v>284</v>
      </c>
      <c r="I134">
        <v>2020</v>
      </c>
      <c r="J134" s="1">
        <v>43831</v>
      </c>
      <c r="K134" t="str">
        <f>TRIM(Data_ML[[#This Row],[cpuName]])</f>
        <v>Snapdragon 720G</v>
      </c>
      <c r="L134">
        <f>YEAR(Data_ML[[#This Row],[release_date]])</f>
        <v>2020</v>
      </c>
    </row>
    <row r="135" spans="1:12" x14ac:dyDescent="0.3">
      <c r="A135" t="s">
        <v>432</v>
      </c>
      <c r="B135" t="s">
        <v>16</v>
      </c>
      <c r="C135" t="s">
        <v>377</v>
      </c>
      <c r="D135">
        <v>8</v>
      </c>
      <c r="E135">
        <v>1766</v>
      </c>
      <c r="F135">
        <v>181</v>
      </c>
      <c r="G135">
        <v>791</v>
      </c>
      <c r="H135">
        <v>283</v>
      </c>
      <c r="I135">
        <v>2018</v>
      </c>
      <c r="J135" s="1">
        <v>43101</v>
      </c>
      <c r="K135" t="str">
        <f>TRIM(Data_ML[[#This Row],[cpuName]])</f>
        <v>Snapdragon 845</v>
      </c>
      <c r="L135">
        <f>YEAR(Data_ML[[#This Row],[release_date]])</f>
        <v>2018</v>
      </c>
    </row>
    <row r="136" spans="1:12" x14ac:dyDescent="0.3">
      <c r="A136" t="s">
        <v>433</v>
      </c>
      <c r="B136" t="s">
        <v>7</v>
      </c>
      <c r="C136" t="s">
        <v>430</v>
      </c>
      <c r="D136">
        <v>2</v>
      </c>
      <c r="E136">
        <v>1800</v>
      </c>
      <c r="F136">
        <v>298</v>
      </c>
      <c r="G136">
        <v>513</v>
      </c>
      <c r="H136">
        <v>280</v>
      </c>
      <c r="I136">
        <v>2015</v>
      </c>
      <c r="J136" s="1">
        <v>42005</v>
      </c>
      <c r="K136" t="str">
        <f>TRIM(Data_ML[[#This Row],[cpuName]])</f>
        <v>A9</v>
      </c>
      <c r="L136">
        <f>YEAR(Data_ML[[#This Row],[release_date]])</f>
        <v>2015</v>
      </c>
    </row>
    <row r="137" spans="1:12" x14ac:dyDescent="0.3">
      <c r="A137" t="s">
        <v>434</v>
      </c>
      <c r="B137" t="s">
        <v>16</v>
      </c>
      <c r="C137" t="s">
        <v>377</v>
      </c>
      <c r="D137">
        <v>8</v>
      </c>
      <c r="E137">
        <v>1766</v>
      </c>
      <c r="F137">
        <v>215</v>
      </c>
      <c r="G137">
        <v>743</v>
      </c>
      <c r="H137">
        <v>280</v>
      </c>
      <c r="I137">
        <v>2018</v>
      </c>
      <c r="J137" s="1">
        <v>43101</v>
      </c>
      <c r="K137" t="str">
        <f>TRIM(Data_ML[[#This Row],[cpuName]])</f>
        <v>Snapdragon 845</v>
      </c>
      <c r="L137">
        <f>YEAR(Data_ML[[#This Row],[release_date]])</f>
        <v>2018</v>
      </c>
    </row>
    <row r="138" spans="1:12" x14ac:dyDescent="0.3">
      <c r="A138" t="s">
        <v>435</v>
      </c>
      <c r="B138" t="s">
        <v>16</v>
      </c>
      <c r="C138" t="s">
        <v>408</v>
      </c>
      <c r="D138">
        <v>8</v>
      </c>
      <c r="E138">
        <v>1804</v>
      </c>
      <c r="F138">
        <v>224</v>
      </c>
      <c r="G138">
        <v>474</v>
      </c>
      <c r="H138">
        <v>279</v>
      </c>
      <c r="I138">
        <v>2020</v>
      </c>
      <c r="J138" s="1">
        <v>43831</v>
      </c>
      <c r="K138" t="str">
        <f>TRIM(Data_ML[[#This Row],[cpuName]])</f>
        <v>Snapdragon 720G</v>
      </c>
      <c r="L138">
        <f>YEAR(Data_ML[[#This Row],[release_date]])</f>
        <v>2020</v>
      </c>
    </row>
    <row r="139" spans="1:12" x14ac:dyDescent="0.3">
      <c r="A139" t="s">
        <v>436</v>
      </c>
      <c r="B139" t="s">
        <v>16</v>
      </c>
      <c r="C139" t="s">
        <v>377</v>
      </c>
      <c r="D139">
        <v>8</v>
      </c>
      <c r="E139">
        <v>1766</v>
      </c>
      <c r="F139">
        <v>227</v>
      </c>
      <c r="G139">
        <v>750</v>
      </c>
      <c r="H139">
        <v>278</v>
      </c>
      <c r="I139">
        <v>2018</v>
      </c>
      <c r="J139" s="1">
        <v>43101</v>
      </c>
      <c r="K139" t="str">
        <f>TRIM(Data_ML[[#This Row],[cpuName]])</f>
        <v>Snapdragon 845</v>
      </c>
      <c r="L139">
        <f>YEAR(Data_ML[[#This Row],[release_date]])</f>
        <v>2018</v>
      </c>
    </row>
    <row r="140" spans="1:12" x14ac:dyDescent="0.3">
      <c r="A140" t="s">
        <v>437</v>
      </c>
      <c r="B140" t="s">
        <v>16</v>
      </c>
      <c r="C140" t="s">
        <v>377</v>
      </c>
      <c r="D140">
        <v>8</v>
      </c>
      <c r="E140">
        <v>1766</v>
      </c>
      <c r="F140">
        <v>219</v>
      </c>
      <c r="G140">
        <v>777</v>
      </c>
      <c r="H140">
        <v>278</v>
      </c>
      <c r="I140">
        <v>2018</v>
      </c>
      <c r="J140" s="1">
        <v>43101</v>
      </c>
      <c r="K140" t="str">
        <f>TRIM(Data_ML[[#This Row],[cpuName]])</f>
        <v>Snapdragon 845</v>
      </c>
      <c r="L140">
        <f>YEAR(Data_ML[[#This Row],[release_date]])</f>
        <v>2018</v>
      </c>
    </row>
    <row r="141" spans="1:12" x14ac:dyDescent="0.3">
      <c r="A141" t="s">
        <v>438</v>
      </c>
      <c r="B141" t="s">
        <v>16</v>
      </c>
      <c r="C141" t="s">
        <v>377</v>
      </c>
      <c r="D141">
        <v>8</v>
      </c>
      <c r="E141">
        <v>1766</v>
      </c>
      <c r="F141">
        <v>216</v>
      </c>
      <c r="G141">
        <v>738</v>
      </c>
      <c r="H141">
        <v>278</v>
      </c>
      <c r="I141">
        <v>2018</v>
      </c>
      <c r="J141" s="1">
        <v>43101</v>
      </c>
      <c r="K141" t="str">
        <f>TRIM(Data_ML[[#This Row],[cpuName]])</f>
        <v>Snapdragon 845</v>
      </c>
      <c r="L141">
        <f>YEAR(Data_ML[[#This Row],[release_date]])</f>
        <v>2018</v>
      </c>
    </row>
    <row r="142" spans="1:12" x14ac:dyDescent="0.3">
      <c r="A142" t="s">
        <v>439</v>
      </c>
      <c r="B142" t="s">
        <v>7</v>
      </c>
      <c r="C142" t="s">
        <v>430</v>
      </c>
      <c r="D142">
        <v>2</v>
      </c>
      <c r="E142">
        <v>1849</v>
      </c>
      <c r="F142">
        <v>280</v>
      </c>
      <c r="G142">
        <v>508</v>
      </c>
      <c r="H142">
        <v>272</v>
      </c>
      <c r="I142">
        <v>2015</v>
      </c>
      <c r="J142" s="1">
        <v>42005</v>
      </c>
      <c r="K142" t="str">
        <f>TRIM(Data_ML[[#This Row],[cpuName]])</f>
        <v>A9</v>
      </c>
      <c r="L142">
        <f>YEAR(Data_ML[[#This Row],[release_date]])</f>
        <v>2015</v>
      </c>
    </row>
    <row r="143" spans="1:12" x14ac:dyDescent="0.3">
      <c r="A143" t="s">
        <v>440</v>
      </c>
      <c r="B143" t="s">
        <v>7</v>
      </c>
      <c r="C143" t="s">
        <v>430</v>
      </c>
      <c r="D143">
        <v>2</v>
      </c>
      <c r="E143">
        <v>1849</v>
      </c>
      <c r="F143">
        <v>279</v>
      </c>
      <c r="G143">
        <v>502</v>
      </c>
      <c r="H143">
        <v>271</v>
      </c>
      <c r="I143">
        <v>2015</v>
      </c>
      <c r="J143" s="1">
        <v>42005</v>
      </c>
      <c r="K143" t="str">
        <f>TRIM(Data_ML[[#This Row],[cpuName]])</f>
        <v>A9</v>
      </c>
      <c r="L143">
        <f>YEAR(Data_ML[[#This Row],[release_date]])</f>
        <v>2015</v>
      </c>
    </row>
    <row r="144" spans="1:12" x14ac:dyDescent="0.3">
      <c r="A144" t="s">
        <v>441</v>
      </c>
      <c r="B144" t="s">
        <v>17</v>
      </c>
      <c r="C144" t="s">
        <v>406</v>
      </c>
      <c r="D144">
        <v>8</v>
      </c>
      <c r="E144">
        <v>1950</v>
      </c>
      <c r="F144">
        <v>159</v>
      </c>
      <c r="G144">
        <v>812</v>
      </c>
      <c r="H144">
        <v>270</v>
      </c>
      <c r="I144">
        <v>2019</v>
      </c>
      <c r="J144" s="1">
        <v>43466</v>
      </c>
      <c r="K144" t="str">
        <f>TRIM(Data_ML[[#This Row],[cpuName]])</f>
        <v>Exynos 9825</v>
      </c>
      <c r="L144">
        <f>YEAR(Data_ML[[#This Row],[release_date]])</f>
        <v>2019</v>
      </c>
    </row>
    <row r="145" spans="1:12" x14ac:dyDescent="0.3">
      <c r="A145" t="s">
        <v>442</v>
      </c>
      <c r="B145" t="s">
        <v>16</v>
      </c>
      <c r="C145" t="s">
        <v>369</v>
      </c>
      <c r="D145">
        <v>8</v>
      </c>
      <c r="E145">
        <v>1804</v>
      </c>
      <c r="F145">
        <v>221</v>
      </c>
      <c r="G145">
        <v>430</v>
      </c>
      <c r="H145">
        <v>268</v>
      </c>
      <c r="I145">
        <v>2019</v>
      </c>
      <c r="J145" s="1">
        <v>43466</v>
      </c>
      <c r="K145" t="str">
        <f>TRIM(Data_ML[[#This Row],[cpuName]])</f>
        <v>Snapdragon 730</v>
      </c>
      <c r="L145">
        <f>YEAR(Data_ML[[#This Row],[release_date]])</f>
        <v>2019</v>
      </c>
    </row>
    <row r="146" spans="1:12" x14ac:dyDescent="0.3">
      <c r="A146" t="s">
        <v>443</v>
      </c>
      <c r="B146" t="s">
        <v>16</v>
      </c>
      <c r="C146" t="s">
        <v>444</v>
      </c>
      <c r="D146">
        <v>8</v>
      </c>
      <c r="E146">
        <v>1900</v>
      </c>
      <c r="F146">
        <v>334</v>
      </c>
      <c r="G146">
        <v>952</v>
      </c>
      <c r="H146">
        <v>265</v>
      </c>
      <c r="I146">
        <v>2021</v>
      </c>
      <c r="J146" s="1">
        <v>44197</v>
      </c>
      <c r="K146" t="str">
        <f>TRIM(Data_ML[[#This Row],[cpuName]])</f>
        <v>Snapdragon 780G</v>
      </c>
      <c r="L146">
        <f>YEAR(Data_ML[[#This Row],[release_date]])</f>
        <v>2021</v>
      </c>
    </row>
    <row r="147" spans="1:12" x14ac:dyDescent="0.3">
      <c r="A147" t="s">
        <v>445</v>
      </c>
      <c r="B147" t="s">
        <v>16</v>
      </c>
      <c r="C147" t="s">
        <v>446</v>
      </c>
      <c r="D147">
        <v>8</v>
      </c>
      <c r="E147">
        <v>1708</v>
      </c>
      <c r="F147">
        <v>164</v>
      </c>
      <c r="G147">
        <v>356</v>
      </c>
      <c r="H147">
        <v>262</v>
      </c>
      <c r="I147">
        <v>2018</v>
      </c>
      <c r="J147" s="1">
        <v>43101</v>
      </c>
      <c r="K147" t="str">
        <f>TRIM(Data_ML[[#This Row],[cpuName]])</f>
        <v>Snapdragon 670</v>
      </c>
      <c r="L147">
        <f>YEAR(Data_ML[[#This Row],[release_date]])</f>
        <v>2018</v>
      </c>
    </row>
    <row r="148" spans="1:12" x14ac:dyDescent="0.3">
      <c r="A148" t="s">
        <v>447</v>
      </c>
      <c r="B148" t="s">
        <v>16</v>
      </c>
      <c r="C148" t="s">
        <v>448</v>
      </c>
      <c r="D148">
        <v>8</v>
      </c>
      <c r="E148">
        <v>1708</v>
      </c>
      <c r="F148">
        <v>172</v>
      </c>
      <c r="G148">
        <v>398</v>
      </c>
      <c r="H148">
        <v>233</v>
      </c>
      <c r="I148">
        <v>2018</v>
      </c>
      <c r="J148" s="1">
        <v>43101</v>
      </c>
      <c r="K148" t="str">
        <f>TRIM(Data_ML[[#This Row],[cpuName]])</f>
        <v>Snapdragon 712</v>
      </c>
      <c r="L148">
        <f>YEAR(Data_ML[[#This Row],[release_date]])</f>
        <v>2018</v>
      </c>
    </row>
    <row r="149" spans="1:12" x14ac:dyDescent="0.3">
      <c r="A149" t="s">
        <v>449</v>
      </c>
      <c r="B149" t="s">
        <v>12</v>
      </c>
      <c r="C149" t="s">
        <v>395</v>
      </c>
      <c r="D149">
        <v>8</v>
      </c>
      <c r="E149">
        <v>1954</v>
      </c>
      <c r="F149">
        <v>312</v>
      </c>
      <c r="G149">
        <v>605</v>
      </c>
      <c r="H149">
        <v>231</v>
      </c>
      <c r="I149">
        <v>2019</v>
      </c>
      <c r="J149" s="1">
        <v>43466</v>
      </c>
      <c r="K149" t="str">
        <f>TRIM(Data_ML[[#This Row],[cpuName]])</f>
        <v>Kirin 990</v>
      </c>
      <c r="L149">
        <f>YEAR(Data_ML[[#This Row],[release_date]])</f>
        <v>2019</v>
      </c>
    </row>
    <row r="150" spans="1:12" x14ac:dyDescent="0.3">
      <c r="A150" t="s">
        <v>450</v>
      </c>
      <c r="B150" t="s">
        <v>16</v>
      </c>
      <c r="C150" t="s">
        <v>451</v>
      </c>
      <c r="D150">
        <v>8</v>
      </c>
      <c r="E150">
        <v>1708</v>
      </c>
      <c r="F150">
        <v>207</v>
      </c>
      <c r="G150">
        <v>291</v>
      </c>
      <c r="H150">
        <v>215</v>
      </c>
      <c r="I150">
        <v>2020</v>
      </c>
      <c r="J150" s="1">
        <v>43831</v>
      </c>
      <c r="K150" t="str">
        <f>TRIM(Data_ML[[#This Row],[cpuName]])</f>
        <v>Snapdragon 678</v>
      </c>
      <c r="L150">
        <f>YEAR(Data_ML[[#This Row],[release_date]])</f>
        <v>2020</v>
      </c>
    </row>
    <row r="151" spans="1:12" x14ac:dyDescent="0.3">
      <c r="A151" t="s">
        <v>452</v>
      </c>
      <c r="B151" t="s">
        <v>16</v>
      </c>
      <c r="C151" t="s">
        <v>446</v>
      </c>
      <c r="D151">
        <v>8</v>
      </c>
      <c r="E151">
        <v>1708</v>
      </c>
      <c r="F151">
        <v>155</v>
      </c>
      <c r="G151">
        <v>331</v>
      </c>
      <c r="H151">
        <v>209</v>
      </c>
      <c r="I151">
        <v>2018</v>
      </c>
      <c r="J151" s="1">
        <v>43101</v>
      </c>
      <c r="K151" t="str">
        <f>TRIM(Data_ML[[#This Row],[cpuName]])</f>
        <v>Snapdragon 670</v>
      </c>
      <c r="L151">
        <f>YEAR(Data_ML[[#This Row],[release_date]])</f>
        <v>2018</v>
      </c>
    </row>
    <row r="152" spans="1:12" x14ac:dyDescent="0.3">
      <c r="A152" t="s">
        <v>453</v>
      </c>
      <c r="B152" t="s">
        <v>17</v>
      </c>
      <c r="C152" t="s">
        <v>454</v>
      </c>
      <c r="D152">
        <v>8</v>
      </c>
      <c r="E152">
        <v>1794</v>
      </c>
      <c r="F152">
        <v>232</v>
      </c>
      <c r="G152">
        <v>679</v>
      </c>
      <c r="H152">
        <v>202</v>
      </c>
      <c r="I152">
        <v>2018</v>
      </c>
      <c r="J152" s="1">
        <v>43101</v>
      </c>
      <c r="K152" t="str">
        <f>TRIM(Data_ML[[#This Row],[cpuName]])</f>
        <v>Exynos 9810</v>
      </c>
      <c r="L152">
        <f>YEAR(Data_ML[[#This Row],[release_date]])</f>
        <v>2018</v>
      </c>
    </row>
    <row r="153" spans="1:12" x14ac:dyDescent="0.3">
      <c r="A153" t="s">
        <v>455</v>
      </c>
      <c r="B153" t="s">
        <v>16</v>
      </c>
      <c r="C153" t="s">
        <v>456</v>
      </c>
      <c r="D153">
        <v>8</v>
      </c>
      <c r="E153">
        <v>1708</v>
      </c>
      <c r="F153">
        <v>200</v>
      </c>
      <c r="G153">
        <v>284</v>
      </c>
      <c r="H153">
        <v>182</v>
      </c>
      <c r="I153">
        <v>2018</v>
      </c>
      <c r="J153" s="1">
        <v>43101</v>
      </c>
      <c r="K153" t="str">
        <f>TRIM(Data_ML[[#This Row],[cpuName]])</f>
        <v>Snapdragon 675</v>
      </c>
      <c r="L153">
        <f>YEAR(Data_ML[[#This Row],[release_date]])</f>
        <v>2018</v>
      </c>
    </row>
    <row r="154" spans="1:12" x14ac:dyDescent="0.3">
      <c r="A154" t="s">
        <v>457</v>
      </c>
      <c r="B154" t="s">
        <v>16</v>
      </c>
      <c r="C154" t="s">
        <v>458</v>
      </c>
      <c r="D154">
        <v>8</v>
      </c>
      <c r="E154">
        <v>1804</v>
      </c>
      <c r="F154">
        <v>151</v>
      </c>
      <c r="G154">
        <v>638</v>
      </c>
      <c r="H154">
        <v>171</v>
      </c>
      <c r="I154">
        <v>2020</v>
      </c>
      <c r="J154" s="1">
        <v>43831</v>
      </c>
      <c r="K154" t="str">
        <f>TRIM(Data_ML[[#This Row],[cpuName]])</f>
        <v>Snapdragon 662</v>
      </c>
      <c r="L154">
        <f>YEAR(Data_ML[[#This Row],[release_date]])</f>
        <v>2020</v>
      </c>
    </row>
    <row r="155" spans="1:12" x14ac:dyDescent="0.3">
      <c r="A155" t="s">
        <v>459</v>
      </c>
      <c r="B155" t="s">
        <v>7</v>
      </c>
      <c r="C155" t="s">
        <v>460</v>
      </c>
      <c r="D155">
        <v>3</v>
      </c>
      <c r="E155">
        <v>1500</v>
      </c>
      <c r="F155">
        <v>244</v>
      </c>
      <c r="G155">
        <v>376</v>
      </c>
      <c r="H155">
        <v>152</v>
      </c>
      <c r="I155">
        <v>2014</v>
      </c>
      <c r="J155" s="1">
        <v>41640</v>
      </c>
      <c r="K155" t="str">
        <f>TRIM(Data_ML[[#This Row],[cpuName]])</f>
        <v>A8X</v>
      </c>
      <c r="L155">
        <f>YEAR(Data_ML[[#This Row],[release_date]])</f>
        <v>2014</v>
      </c>
    </row>
    <row r="156" spans="1:12" x14ac:dyDescent="0.3">
      <c r="A156" t="s">
        <v>461</v>
      </c>
      <c r="B156" t="s">
        <v>16</v>
      </c>
      <c r="C156" t="s">
        <v>462</v>
      </c>
      <c r="D156">
        <v>8</v>
      </c>
      <c r="E156">
        <v>1804</v>
      </c>
      <c r="F156">
        <v>146</v>
      </c>
      <c r="G156">
        <v>211</v>
      </c>
      <c r="H156">
        <v>147</v>
      </c>
      <c r="I156">
        <v>2019</v>
      </c>
      <c r="J156" s="1">
        <v>43466</v>
      </c>
      <c r="K156" t="str">
        <f>TRIM(Data_ML[[#This Row],[cpuName]])</f>
        <v>Snapdragon 665</v>
      </c>
      <c r="L156">
        <f>YEAR(Data_ML[[#This Row],[release_date]])</f>
        <v>2019</v>
      </c>
    </row>
    <row r="157" spans="1:12" x14ac:dyDescent="0.3">
      <c r="A157" t="s">
        <v>463</v>
      </c>
      <c r="B157" t="s">
        <v>16</v>
      </c>
      <c r="C157" t="s">
        <v>464</v>
      </c>
      <c r="D157">
        <v>4</v>
      </c>
      <c r="E157">
        <v>1593</v>
      </c>
      <c r="F157">
        <v>157</v>
      </c>
      <c r="G157">
        <v>254</v>
      </c>
      <c r="H157">
        <v>131</v>
      </c>
      <c r="I157">
        <v>2016</v>
      </c>
      <c r="J157" s="1">
        <v>42370</v>
      </c>
      <c r="K157" t="str">
        <f>TRIM(Data_ML[[#This Row],[cpuName]])</f>
        <v>MSM8996 Pro-AB Snapdragon 821</v>
      </c>
      <c r="L157">
        <f>YEAR(Data_ML[[#This Row],[release_date]])</f>
        <v>2016</v>
      </c>
    </row>
    <row r="158" spans="1:12" x14ac:dyDescent="0.3">
      <c r="A158" t="s">
        <v>465</v>
      </c>
      <c r="B158" t="s">
        <v>16</v>
      </c>
      <c r="C158" t="s">
        <v>466</v>
      </c>
      <c r="D158">
        <v>8</v>
      </c>
      <c r="E158">
        <v>1900</v>
      </c>
      <c r="F158">
        <v>154</v>
      </c>
      <c r="G158">
        <v>188</v>
      </c>
      <c r="H158">
        <v>131</v>
      </c>
      <c r="I158">
        <v>2017</v>
      </c>
      <c r="J158" s="1">
        <v>42736</v>
      </c>
      <c r="K158" t="str">
        <f>TRIM(Data_ML[[#This Row],[cpuName]])</f>
        <v>Snapdragon 835</v>
      </c>
      <c r="L158">
        <f>YEAR(Data_ML[[#This Row],[release_date]])</f>
        <v>2017</v>
      </c>
    </row>
    <row r="159" spans="1:12" x14ac:dyDescent="0.3">
      <c r="A159" t="s">
        <v>467</v>
      </c>
      <c r="B159" t="s">
        <v>16</v>
      </c>
      <c r="C159" t="s">
        <v>462</v>
      </c>
      <c r="D159">
        <v>8</v>
      </c>
      <c r="E159">
        <v>1804</v>
      </c>
      <c r="F159">
        <v>150</v>
      </c>
      <c r="G159">
        <v>212</v>
      </c>
      <c r="H159">
        <v>131</v>
      </c>
      <c r="I159">
        <v>2019</v>
      </c>
      <c r="J159" s="1">
        <v>43466</v>
      </c>
      <c r="K159" t="str">
        <f>TRIM(Data_ML[[#This Row],[cpuName]])</f>
        <v>Snapdragon 665</v>
      </c>
      <c r="L159">
        <f>YEAR(Data_ML[[#This Row],[release_date]])</f>
        <v>2019</v>
      </c>
    </row>
    <row r="160" spans="1:12" x14ac:dyDescent="0.3">
      <c r="A160" t="s">
        <v>468</v>
      </c>
      <c r="B160" t="s">
        <v>16</v>
      </c>
      <c r="C160" t="s">
        <v>466</v>
      </c>
      <c r="D160">
        <v>8</v>
      </c>
      <c r="E160">
        <v>1900</v>
      </c>
      <c r="F160">
        <v>154</v>
      </c>
      <c r="G160">
        <v>487</v>
      </c>
      <c r="H160">
        <v>128</v>
      </c>
      <c r="I160">
        <v>2017</v>
      </c>
      <c r="J160" s="1">
        <v>42736</v>
      </c>
      <c r="K160" t="str">
        <f>TRIM(Data_ML[[#This Row],[cpuName]])</f>
        <v>Snapdragon 835</v>
      </c>
      <c r="L160">
        <f>YEAR(Data_ML[[#This Row],[release_date]])</f>
        <v>2017</v>
      </c>
    </row>
    <row r="161" spans="1:12" x14ac:dyDescent="0.3">
      <c r="A161" t="s">
        <v>469</v>
      </c>
      <c r="B161" t="s">
        <v>16</v>
      </c>
      <c r="C161" t="s">
        <v>466</v>
      </c>
      <c r="D161">
        <v>8</v>
      </c>
      <c r="E161">
        <v>1900</v>
      </c>
      <c r="F161">
        <v>154</v>
      </c>
      <c r="G161">
        <v>353</v>
      </c>
      <c r="H161">
        <v>125</v>
      </c>
      <c r="I161">
        <v>2017</v>
      </c>
      <c r="J161" s="1">
        <v>42736</v>
      </c>
      <c r="K161" t="str">
        <f>TRIM(Data_ML[[#This Row],[cpuName]])</f>
        <v>Snapdragon 835</v>
      </c>
      <c r="L161">
        <f>YEAR(Data_ML[[#This Row],[release_date]])</f>
        <v>2017</v>
      </c>
    </row>
    <row r="162" spans="1:12" x14ac:dyDescent="0.3">
      <c r="A162" t="s">
        <v>470</v>
      </c>
      <c r="B162" t="s">
        <v>16</v>
      </c>
      <c r="C162" t="s">
        <v>466</v>
      </c>
      <c r="D162">
        <v>8</v>
      </c>
      <c r="E162">
        <v>1900</v>
      </c>
      <c r="F162">
        <v>154</v>
      </c>
      <c r="G162">
        <v>187</v>
      </c>
      <c r="H162">
        <v>124</v>
      </c>
      <c r="I162">
        <v>2017</v>
      </c>
      <c r="J162" s="1">
        <v>42736</v>
      </c>
      <c r="K162" t="str">
        <f>TRIM(Data_ML[[#This Row],[cpuName]])</f>
        <v>Snapdragon 835</v>
      </c>
      <c r="L162">
        <f>YEAR(Data_ML[[#This Row],[release_date]])</f>
        <v>2017</v>
      </c>
    </row>
    <row r="163" spans="1:12" x14ac:dyDescent="0.3">
      <c r="A163" t="s">
        <v>471</v>
      </c>
      <c r="B163" t="s">
        <v>16</v>
      </c>
      <c r="C163" t="s">
        <v>464</v>
      </c>
      <c r="D163">
        <v>4</v>
      </c>
      <c r="E163">
        <v>1593</v>
      </c>
      <c r="F163">
        <v>185</v>
      </c>
      <c r="G163">
        <v>155</v>
      </c>
      <c r="H163">
        <v>123</v>
      </c>
      <c r="I163">
        <v>2016</v>
      </c>
      <c r="J163" s="1">
        <v>42370</v>
      </c>
      <c r="K163" t="str">
        <f>TRIM(Data_ML[[#This Row],[cpuName]])</f>
        <v>MSM8996 Pro-AB Snapdragon 821</v>
      </c>
      <c r="L163">
        <f>YEAR(Data_ML[[#This Row],[release_date]])</f>
        <v>2016</v>
      </c>
    </row>
    <row r="164" spans="1:12" x14ac:dyDescent="0.3">
      <c r="A164" t="s">
        <v>472</v>
      </c>
      <c r="B164" t="s">
        <v>7</v>
      </c>
      <c r="C164" t="s">
        <v>473</v>
      </c>
      <c r="D164">
        <v>2</v>
      </c>
      <c r="E164">
        <v>1500</v>
      </c>
      <c r="F164">
        <v>181</v>
      </c>
      <c r="G164">
        <v>275</v>
      </c>
      <c r="H164">
        <v>113</v>
      </c>
      <c r="I164">
        <v>2014</v>
      </c>
      <c r="J164" s="1">
        <v>41640</v>
      </c>
      <c r="K164" t="str">
        <f>TRIM(Data_ML[[#This Row],[cpuName]])</f>
        <v>A8</v>
      </c>
      <c r="L164">
        <f>YEAR(Data_ML[[#This Row],[release_date]])</f>
        <v>2014</v>
      </c>
    </row>
    <row r="165" spans="1:12" x14ac:dyDescent="0.3">
      <c r="A165" t="s">
        <v>474</v>
      </c>
      <c r="B165" t="s">
        <v>16</v>
      </c>
      <c r="C165" t="s">
        <v>466</v>
      </c>
      <c r="D165">
        <v>8</v>
      </c>
      <c r="E165">
        <v>1900</v>
      </c>
      <c r="F165">
        <v>151</v>
      </c>
      <c r="G165">
        <v>617</v>
      </c>
      <c r="H165">
        <v>110</v>
      </c>
      <c r="I165">
        <v>2017</v>
      </c>
      <c r="J165" s="1">
        <v>42736</v>
      </c>
      <c r="K165" t="str">
        <f>TRIM(Data_ML[[#This Row],[cpuName]])</f>
        <v>Snapdragon 835</v>
      </c>
      <c r="L165">
        <f>YEAR(Data_ML[[#This Row],[release_date]])</f>
        <v>2017</v>
      </c>
    </row>
    <row r="166" spans="1:12" x14ac:dyDescent="0.3">
      <c r="A166" t="s">
        <v>475</v>
      </c>
      <c r="B166" t="s">
        <v>476</v>
      </c>
      <c r="C166" t="s">
        <v>477</v>
      </c>
      <c r="D166">
        <v>4</v>
      </c>
      <c r="E166">
        <v>2014</v>
      </c>
      <c r="F166">
        <v>154</v>
      </c>
      <c r="G166">
        <v>226</v>
      </c>
      <c r="H166">
        <v>108</v>
      </c>
      <c r="I166">
        <v>2015</v>
      </c>
      <c r="J166" s="1">
        <v>42005</v>
      </c>
      <c r="K166" t="str">
        <f>TRIM(Data_ML[[#This Row],[cpuName]])</f>
        <v>Tegra X1</v>
      </c>
      <c r="L166">
        <f>YEAR(Data_ML[[#This Row],[release_date]])</f>
        <v>2015</v>
      </c>
    </row>
    <row r="167" spans="1:12" x14ac:dyDescent="0.3">
      <c r="A167" t="s">
        <v>478</v>
      </c>
      <c r="B167" t="s">
        <v>17</v>
      </c>
      <c r="C167" t="s">
        <v>479</v>
      </c>
      <c r="D167">
        <v>8</v>
      </c>
      <c r="E167">
        <v>1742</v>
      </c>
      <c r="F167">
        <v>126</v>
      </c>
      <c r="G167">
        <v>300</v>
      </c>
      <c r="H167">
        <v>108</v>
      </c>
      <c r="I167">
        <v>2019</v>
      </c>
      <c r="J167" s="1">
        <v>43466</v>
      </c>
      <c r="K167" t="str">
        <f>TRIM(Data_ML[[#This Row],[cpuName]])</f>
        <v>Exynos 9611</v>
      </c>
      <c r="L167">
        <f>YEAR(Data_ML[[#This Row],[release_date]])</f>
        <v>2019</v>
      </c>
    </row>
    <row r="168" spans="1:12" x14ac:dyDescent="0.3">
      <c r="A168" t="s">
        <v>480</v>
      </c>
      <c r="B168" t="s">
        <v>12</v>
      </c>
      <c r="C168" t="s">
        <v>481</v>
      </c>
      <c r="D168">
        <v>8</v>
      </c>
      <c r="E168">
        <v>1709</v>
      </c>
      <c r="F168">
        <v>127</v>
      </c>
      <c r="G168">
        <v>269</v>
      </c>
      <c r="H168">
        <v>107</v>
      </c>
      <c r="I168">
        <v>2018</v>
      </c>
      <c r="J168" s="1">
        <v>43101</v>
      </c>
      <c r="K168" t="str">
        <f>TRIM(Data_ML[[#This Row],[cpuName]])</f>
        <v>Kirin 710</v>
      </c>
      <c r="L168">
        <f>YEAR(Data_ML[[#This Row],[release_date]])</f>
        <v>2018</v>
      </c>
    </row>
    <row r="169" spans="1:12" x14ac:dyDescent="0.3">
      <c r="A169" t="s">
        <v>482</v>
      </c>
      <c r="B169" t="s">
        <v>16</v>
      </c>
      <c r="C169" t="s">
        <v>466</v>
      </c>
      <c r="D169">
        <v>8</v>
      </c>
      <c r="E169">
        <v>1900</v>
      </c>
      <c r="F169">
        <v>159</v>
      </c>
      <c r="G169">
        <v>553</v>
      </c>
      <c r="H169">
        <v>102</v>
      </c>
      <c r="I169">
        <v>2017</v>
      </c>
      <c r="J169" s="1">
        <v>42736</v>
      </c>
      <c r="K169" t="str">
        <f>TRIM(Data_ML[[#This Row],[cpuName]])</f>
        <v>Snapdragon 835</v>
      </c>
      <c r="L169">
        <f>YEAR(Data_ML[[#This Row],[release_date]])</f>
        <v>2017</v>
      </c>
    </row>
    <row r="170" spans="1:12" x14ac:dyDescent="0.3">
      <c r="A170" t="s">
        <v>483</v>
      </c>
      <c r="B170" t="s">
        <v>16</v>
      </c>
      <c r="C170" t="s">
        <v>484</v>
      </c>
      <c r="D170">
        <v>8</v>
      </c>
      <c r="E170">
        <v>1843</v>
      </c>
      <c r="F170">
        <v>122</v>
      </c>
      <c r="G170">
        <v>278</v>
      </c>
      <c r="H170">
        <v>102</v>
      </c>
      <c r="I170">
        <v>2017</v>
      </c>
      <c r="J170" s="1">
        <v>42736</v>
      </c>
      <c r="K170" t="str">
        <f>TRIM(Data_ML[[#This Row],[cpuName]])</f>
        <v>Snapdragon 660</v>
      </c>
      <c r="L170">
        <f>YEAR(Data_ML[[#This Row],[release_date]])</f>
        <v>2017</v>
      </c>
    </row>
    <row r="171" spans="1:12" x14ac:dyDescent="0.3">
      <c r="A171" t="s">
        <v>485</v>
      </c>
      <c r="B171" t="s">
        <v>17</v>
      </c>
      <c r="C171" t="s">
        <v>479</v>
      </c>
      <c r="D171">
        <v>8</v>
      </c>
      <c r="E171">
        <v>1742</v>
      </c>
      <c r="F171">
        <v>121</v>
      </c>
      <c r="G171">
        <v>289</v>
      </c>
      <c r="H171">
        <v>102</v>
      </c>
      <c r="I171">
        <v>2019</v>
      </c>
      <c r="J171" s="1">
        <v>43466</v>
      </c>
      <c r="K171" t="str">
        <f>TRIM(Data_ML[[#This Row],[cpuName]])</f>
        <v>Exynos 9611</v>
      </c>
      <c r="L171">
        <f>YEAR(Data_ML[[#This Row],[release_date]])</f>
        <v>2019</v>
      </c>
    </row>
    <row r="172" spans="1:12" x14ac:dyDescent="0.3">
      <c r="A172" t="s">
        <v>486</v>
      </c>
      <c r="B172" t="s">
        <v>17</v>
      </c>
      <c r="C172" t="s">
        <v>479</v>
      </c>
      <c r="D172">
        <v>8</v>
      </c>
      <c r="E172">
        <v>1742</v>
      </c>
      <c r="F172">
        <v>120</v>
      </c>
      <c r="G172">
        <v>323</v>
      </c>
      <c r="H172">
        <v>101</v>
      </c>
      <c r="I172">
        <v>2019</v>
      </c>
      <c r="J172" s="1">
        <v>43466</v>
      </c>
      <c r="K172" t="str">
        <f>TRIM(Data_ML[[#This Row],[cpuName]])</f>
        <v>Exynos 9611</v>
      </c>
      <c r="L172">
        <f>YEAR(Data_ML[[#This Row],[release_date]])</f>
        <v>2019</v>
      </c>
    </row>
    <row r="173" spans="1:12" x14ac:dyDescent="0.3">
      <c r="A173" t="s">
        <v>487</v>
      </c>
      <c r="B173" t="s">
        <v>16</v>
      </c>
      <c r="C173" t="s">
        <v>484</v>
      </c>
      <c r="D173">
        <v>8</v>
      </c>
      <c r="E173">
        <v>1843</v>
      </c>
      <c r="F173">
        <v>134</v>
      </c>
      <c r="G173">
        <v>276</v>
      </c>
      <c r="H173">
        <v>100</v>
      </c>
      <c r="I173">
        <v>2017</v>
      </c>
      <c r="J173" s="1">
        <v>42736</v>
      </c>
      <c r="K173" t="str">
        <f>TRIM(Data_ML[[#This Row],[cpuName]])</f>
        <v>Snapdragon 660</v>
      </c>
      <c r="L173">
        <f>YEAR(Data_ML[[#This Row],[release_date]])</f>
        <v>2017</v>
      </c>
    </row>
    <row r="174" spans="1:12" x14ac:dyDescent="0.3">
      <c r="A174" t="s">
        <v>488</v>
      </c>
      <c r="B174" t="s">
        <v>17</v>
      </c>
      <c r="C174" t="s">
        <v>479</v>
      </c>
      <c r="D174">
        <v>8</v>
      </c>
      <c r="E174">
        <v>1742</v>
      </c>
      <c r="F174">
        <v>124</v>
      </c>
      <c r="G174">
        <v>294</v>
      </c>
      <c r="H174">
        <v>100</v>
      </c>
      <c r="I174">
        <v>2019</v>
      </c>
      <c r="J174" s="1">
        <v>43466</v>
      </c>
      <c r="K174" t="str">
        <f>TRIM(Data_ML[[#This Row],[cpuName]])</f>
        <v>Exynos 9611</v>
      </c>
      <c r="L174">
        <f>YEAR(Data_ML[[#This Row],[release_date]])</f>
        <v>2019</v>
      </c>
    </row>
    <row r="175" spans="1:12" x14ac:dyDescent="0.3">
      <c r="A175" t="s">
        <v>489</v>
      </c>
      <c r="B175" t="s">
        <v>14</v>
      </c>
      <c r="C175" t="s">
        <v>490</v>
      </c>
      <c r="D175">
        <v>8</v>
      </c>
      <c r="E175">
        <v>1800</v>
      </c>
      <c r="F175">
        <v>151</v>
      </c>
      <c r="G175">
        <v>230</v>
      </c>
      <c r="H175">
        <v>97</v>
      </c>
      <c r="I175">
        <v>2020</v>
      </c>
      <c r="J175" s="1">
        <v>43831</v>
      </c>
      <c r="K175" t="str">
        <f>TRIM(Data_ML[[#This Row],[cpuName]])</f>
        <v>Helio G85</v>
      </c>
      <c r="L175">
        <f>YEAR(Data_ML[[#This Row],[release_date]])</f>
        <v>2020</v>
      </c>
    </row>
    <row r="176" spans="1:12" x14ac:dyDescent="0.3">
      <c r="A176" t="s">
        <v>474</v>
      </c>
      <c r="B176" t="s">
        <v>17</v>
      </c>
      <c r="C176" t="s">
        <v>491</v>
      </c>
      <c r="D176">
        <v>8</v>
      </c>
      <c r="E176">
        <v>1690</v>
      </c>
      <c r="F176">
        <v>142</v>
      </c>
      <c r="G176">
        <v>499</v>
      </c>
      <c r="H176">
        <v>95</v>
      </c>
      <c r="I176">
        <v>2017</v>
      </c>
      <c r="J176" s="1">
        <v>42736</v>
      </c>
      <c r="K176" t="str">
        <f>TRIM(Data_ML[[#This Row],[cpuName]])</f>
        <v>Exynos 8895 Octa</v>
      </c>
      <c r="L176">
        <f>YEAR(Data_ML[[#This Row],[release_date]])</f>
        <v>2017</v>
      </c>
    </row>
    <row r="177" spans="1:12" x14ac:dyDescent="0.3">
      <c r="A177" t="s">
        <v>492</v>
      </c>
      <c r="B177" t="s">
        <v>16</v>
      </c>
      <c r="C177" t="s">
        <v>466</v>
      </c>
      <c r="D177">
        <v>8</v>
      </c>
      <c r="E177">
        <v>1900</v>
      </c>
      <c r="F177">
        <v>154</v>
      </c>
      <c r="G177">
        <v>650</v>
      </c>
      <c r="H177">
        <v>93</v>
      </c>
      <c r="I177">
        <v>2017</v>
      </c>
      <c r="J177" s="1">
        <v>42736</v>
      </c>
      <c r="K177" t="str">
        <f>TRIM(Data_ML[[#This Row],[cpuName]])</f>
        <v>Snapdragon 835</v>
      </c>
      <c r="L177">
        <f>YEAR(Data_ML[[#This Row],[release_date]])</f>
        <v>2017</v>
      </c>
    </row>
    <row r="178" spans="1:12" x14ac:dyDescent="0.3">
      <c r="A178" t="s">
        <v>493</v>
      </c>
      <c r="B178" t="s">
        <v>14</v>
      </c>
      <c r="C178" t="s">
        <v>494</v>
      </c>
      <c r="D178">
        <v>8</v>
      </c>
      <c r="E178">
        <v>1800</v>
      </c>
      <c r="F178">
        <v>155</v>
      </c>
      <c r="G178">
        <v>256</v>
      </c>
      <c r="H178">
        <v>88</v>
      </c>
      <c r="I178">
        <v>2020</v>
      </c>
      <c r="J178" s="1">
        <v>43831</v>
      </c>
      <c r="K178" t="str">
        <f>TRIM(Data_ML[[#This Row],[cpuName]])</f>
        <v>Helio G80</v>
      </c>
      <c r="L178">
        <f>YEAR(Data_ML[[#This Row],[release_date]])</f>
        <v>2020</v>
      </c>
    </row>
    <row r="179" spans="1:12" x14ac:dyDescent="0.3">
      <c r="A179" t="s">
        <v>495</v>
      </c>
      <c r="B179" t="s">
        <v>16</v>
      </c>
      <c r="C179" t="s">
        <v>446</v>
      </c>
      <c r="D179">
        <v>8</v>
      </c>
      <c r="E179">
        <v>1708</v>
      </c>
      <c r="F179">
        <v>134</v>
      </c>
      <c r="G179">
        <v>275</v>
      </c>
      <c r="H179">
        <v>88</v>
      </c>
      <c r="I179">
        <v>2018</v>
      </c>
      <c r="J179" s="1">
        <v>43101</v>
      </c>
      <c r="K179" t="str">
        <f>TRIM(Data_ML[[#This Row],[cpuName]])</f>
        <v>Snapdragon 670</v>
      </c>
      <c r="L179">
        <f>YEAR(Data_ML[[#This Row],[release_date]])</f>
        <v>2018</v>
      </c>
    </row>
    <row r="180" spans="1:12" x14ac:dyDescent="0.3">
      <c r="A180" t="s">
        <v>496</v>
      </c>
      <c r="B180" t="s">
        <v>17</v>
      </c>
      <c r="C180" t="s">
        <v>497</v>
      </c>
      <c r="D180">
        <v>8</v>
      </c>
      <c r="E180">
        <v>1742</v>
      </c>
      <c r="F180">
        <v>122</v>
      </c>
      <c r="G180">
        <v>293</v>
      </c>
      <c r="H180">
        <v>85</v>
      </c>
      <c r="I180">
        <v>2018</v>
      </c>
      <c r="J180" s="1">
        <v>43101</v>
      </c>
      <c r="K180" t="str">
        <f>TRIM(Data_ML[[#This Row],[cpuName]])</f>
        <v>Exynos 9610</v>
      </c>
      <c r="L180">
        <f>YEAR(Data_ML[[#This Row],[release_date]])</f>
        <v>2018</v>
      </c>
    </row>
    <row r="181" spans="1:12" x14ac:dyDescent="0.3">
      <c r="A181" t="s">
        <v>498</v>
      </c>
      <c r="B181" t="s">
        <v>16</v>
      </c>
      <c r="C181" t="s">
        <v>466</v>
      </c>
      <c r="D181">
        <v>8</v>
      </c>
      <c r="E181">
        <v>1900</v>
      </c>
      <c r="F181">
        <v>155</v>
      </c>
      <c r="G181">
        <v>548</v>
      </c>
      <c r="H181">
        <v>80</v>
      </c>
      <c r="I181">
        <v>2017</v>
      </c>
      <c r="J181" s="1">
        <v>42736</v>
      </c>
      <c r="K181" t="str">
        <f>TRIM(Data_ML[[#This Row],[cpuName]])</f>
        <v>Snapdragon 835</v>
      </c>
      <c r="L181">
        <f>YEAR(Data_ML[[#This Row],[release_date]])</f>
        <v>2017</v>
      </c>
    </row>
    <row r="182" spans="1:12" x14ac:dyDescent="0.3">
      <c r="A182" t="s">
        <v>499</v>
      </c>
      <c r="B182" t="s">
        <v>17</v>
      </c>
      <c r="C182" t="s">
        <v>500</v>
      </c>
      <c r="D182">
        <v>8</v>
      </c>
      <c r="E182">
        <v>1500</v>
      </c>
      <c r="F182">
        <v>136</v>
      </c>
      <c r="G182">
        <v>167</v>
      </c>
      <c r="H182">
        <v>79</v>
      </c>
      <c r="I182">
        <v>2015</v>
      </c>
      <c r="J182" s="1">
        <v>42005</v>
      </c>
      <c r="K182" t="str">
        <f>TRIM(Data_ML[[#This Row],[cpuName]])</f>
        <v>Exynos 7420</v>
      </c>
      <c r="L182">
        <f>YEAR(Data_ML[[#This Row],[release_date]])</f>
        <v>2015</v>
      </c>
    </row>
    <row r="183" spans="1:12" x14ac:dyDescent="0.3">
      <c r="A183" t="s">
        <v>501</v>
      </c>
      <c r="B183" t="s">
        <v>16</v>
      </c>
      <c r="C183" t="s">
        <v>466</v>
      </c>
      <c r="D183">
        <v>8</v>
      </c>
      <c r="E183">
        <v>1900</v>
      </c>
      <c r="F183">
        <v>147</v>
      </c>
      <c r="G183">
        <v>585</v>
      </c>
      <c r="H183">
        <v>75</v>
      </c>
      <c r="I183">
        <v>2017</v>
      </c>
      <c r="J183" s="1">
        <v>42736</v>
      </c>
      <c r="K183" t="str">
        <f>TRIM(Data_ML[[#This Row],[cpuName]])</f>
        <v>Snapdragon 835</v>
      </c>
      <c r="L183">
        <f>YEAR(Data_ML[[#This Row],[release_date]])</f>
        <v>2017</v>
      </c>
    </row>
    <row r="184" spans="1:12" x14ac:dyDescent="0.3">
      <c r="A184" t="s">
        <v>502</v>
      </c>
      <c r="B184" t="s">
        <v>17</v>
      </c>
      <c r="C184" t="s">
        <v>503</v>
      </c>
      <c r="D184">
        <v>8</v>
      </c>
      <c r="E184">
        <v>1352</v>
      </c>
      <c r="F184">
        <v>89</v>
      </c>
      <c r="G184">
        <v>210</v>
      </c>
      <c r="H184">
        <v>74</v>
      </c>
      <c r="I184">
        <v>2018</v>
      </c>
      <c r="J184" s="1">
        <v>43101</v>
      </c>
      <c r="K184" t="str">
        <f>TRIM(Data_ML[[#This Row],[cpuName]])</f>
        <v>Exynos 7884</v>
      </c>
      <c r="L184">
        <f>YEAR(Data_ML[[#This Row],[release_date]])</f>
        <v>2018</v>
      </c>
    </row>
    <row r="185" spans="1:12" x14ac:dyDescent="0.3">
      <c r="A185" t="s">
        <v>504</v>
      </c>
      <c r="B185" t="s">
        <v>17</v>
      </c>
      <c r="C185" t="s">
        <v>505</v>
      </c>
      <c r="D185">
        <v>8</v>
      </c>
      <c r="E185">
        <v>1300</v>
      </c>
      <c r="F185">
        <v>133</v>
      </c>
      <c r="G185">
        <v>400</v>
      </c>
      <c r="H185">
        <v>71</v>
      </c>
      <c r="I185">
        <v>2016</v>
      </c>
      <c r="J185" s="1">
        <v>42370</v>
      </c>
      <c r="K185" t="str">
        <f>TRIM(Data_ML[[#This Row],[cpuName]])</f>
        <v>Exynos 8890</v>
      </c>
      <c r="L185">
        <f>YEAR(Data_ML[[#This Row],[release_date]])</f>
        <v>2016</v>
      </c>
    </row>
    <row r="186" spans="1:12" x14ac:dyDescent="0.3">
      <c r="A186" t="s">
        <v>506</v>
      </c>
      <c r="B186" t="s">
        <v>16</v>
      </c>
      <c r="C186" t="s">
        <v>507</v>
      </c>
      <c r="D186">
        <v>8</v>
      </c>
      <c r="E186">
        <v>1555</v>
      </c>
      <c r="F186">
        <v>85</v>
      </c>
      <c r="G186">
        <v>111</v>
      </c>
      <c r="H186">
        <v>71</v>
      </c>
      <c r="I186">
        <v>2015</v>
      </c>
      <c r="J186" s="1">
        <v>42005</v>
      </c>
      <c r="K186" t="str">
        <f>TRIM(Data_ML[[#This Row],[cpuName]])</f>
        <v>Snapdragon 810</v>
      </c>
      <c r="L186">
        <f>YEAR(Data_ML[[#This Row],[release_date]])</f>
        <v>2015</v>
      </c>
    </row>
    <row r="187" spans="1:12" x14ac:dyDescent="0.3">
      <c r="A187" t="s">
        <v>508</v>
      </c>
      <c r="B187" t="s">
        <v>16</v>
      </c>
      <c r="C187" t="s">
        <v>509</v>
      </c>
      <c r="D187">
        <v>6</v>
      </c>
      <c r="E187">
        <v>1440</v>
      </c>
      <c r="F187">
        <v>78</v>
      </c>
      <c r="G187">
        <v>75</v>
      </c>
      <c r="H187">
        <v>68</v>
      </c>
      <c r="I187">
        <v>2015</v>
      </c>
      <c r="J187" s="1">
        <v>42005</v>
      </c>
      <c r="K187" t="str">
        <f>TRIM(Data_ML[[#This Row],[cpuName]])</f>
        <v>Snapdragon 808</v>
      </c>
      <c r="L187">
        <f>YEAR(Data_ML[[#This Row],[release_date]])</f>
        <v>2015</v>
      </c>
    </row>
    <row r="188" spans="1:12" x14ac:dyDescent="0.3">
      <c r="A188" t="s">
        <v>510</v>
      </c>
      <c r="B188" t="s">
        <v>16</v>
      </c>
      <c r="C188" t="s">
        <v>466</v>
      </c>
      <c r="D188">
        <v>8</v>
      </c>
      <c r="E188">
        <v>1900</v>
      </c>
      <c r="F188">
        <v>146</v>
      </c>
      <c r="G188">
        <v>504</v>
      </c>
      <c r="H188">
        <v>66</v>
      </c>
      <c r="I188">
        <v>2017</v>
      </c>
      <c r="J188" s="1">
        <v>42736</v>
      </c>
      <c r="K188" t="str">
        <f>TRIM(Data_ML[[#This Row],[cpuName]])</f>
        <v>Snapdragon 835</v>
      </c>
      <c r="L188">
        <f>YEAR(Data_ML[[#This Row],[release_date]])</f>
        <v>2017</v>
      </c>
    </row>
    <row r="189" spans="1:12" x14ac:dyDescent="0.3">
      <c r="A189" t="s">
        <v>511</v>
      </c>
      <c r="B189" t="s">
        <v>17</v>
      </c>
      <c r="C189" t="s">
        <v>512</v>
      </c>
      <c r="D189">
        <v>8</v>
      </c>
      <c r="E189">
        <v>2002</v>
      </c>
      <c r="F189">
        <v>96</v>
      </c>
      <c r="G189">
        <v>177</v>
      </c>
      <c r="H189">
        <v>56</v>
      </c>
      <c r="I189">
        <v>2020</v>
      </c>
      <c r="J189" s="1">
        <v>43831</v>
      </c>
      <c r="K189" t="str">
        <f>TRIM(Data_ML[[#This Row],[cpuName]])</f>
        <v>Exynos 850</v>
      </c>
      <c r="L189">
        <f>YEAR(Data_ML[[#This Row],[release_date]])</f>
        <v>2020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CDEA3-6E6A-4C08-85C5-15CBDEDB7351}">
  <dimension ref="A1:M180"/>
  <sheetViews>
    <sheetView workbookViewId="0">
      <selection activeCell="I2" sqref="I2"/>
    </sheetView>
  </sheetViews>
  <sheetFormatPr defaultRowHeight="14.4" x14ac:dyDescent="0.3"/>
  <cols>
    <col min="1" max="1" width="34.88671875" bestFit="1" customWidth="1"/>
    <col min="2" max="2" width="10.33203125" bestFit="1" customWidth="1"/>
    <col min="3" max="4" width="7" bestFit="1" customWidth="1"/>
    <col min="5" max="5" width="7.6640625" bestFit="1" customWidth="1"/>
    <col min="6" max="6" width="7" bestFit="1" customWidth="1"/>
    <col min="7" max="7" width="12.5546875" style="2" bestFit="1" customWidth="1"/>
    <col min="8" max="8" width="21.44140625" bestFit="1" customWidth="1"/>
    <col min="9" max="9" width="19.33203125" bestFit="1" customWidth="1"/>
    <col min="10" max="10" width="20.6640625" bestFit="1" customWidth="1"/>
  </cols>
  <sheetData>
    <row r="1" spans="1:13" x14ac:dyDescent="0.3">
      <c r="A1" t="s">
        <v>513</v>
      </c>
      <c r="B1" t="s">
        <v>514</v>
      </c>
      <c r="C1" t="s">
        <v>515</v>
      </c>
      <c r="D1" t="s">
        <v>516</v>
      </c>
      <c r="E1" t="s">
        <v>517</v>
      </c>
      <c r="F1" t="s">
        <v>518</v>
      </c>
      <c r="G1" s="2" t="s">
        <v>519</v>
      </c>
      <c r="H1" t="s">
        <v>520</v>
      </c>
      <c r="I1" t="s">
        <v>521</v>
      </c>
      <c r="J1" t="s">
        <v>522</v>
      </c>
      <c r="L1" s="20" t="s">
        <v>523</v>
      </c>
      <c r="M1" s="20"/>
    </row>
    <row r="2" spans="1:13" x14ac:dyDescent="0.3">
      <c r="A2" t="s">
        <v>524</v>
      </c>
      <c r="B2" t="s">
        <v>7</v>
      </c>
      <c r="C2">
        <v>351192</v>
      </c>
      <c r="D2">
        <v>741383</v>
      </c>
      <c r="E2">
        <v>183160</v>
      </c>
      <c r="F2">
        <v>153993</v>
      </c>
      <c r="G2" s="2">
        <v>1429728</v>
      </c>
      <c r="H2" t="str">
        <f>IFERROR(TRIM(LEFT(Data_AnTuTu[[#This Row],[Device]], FIND("(",Data_AnTuTu[[#This Row],[Device]])-1)), TRIM(Data_AnTuTu[[#This Row],[Device]]))</f>
        <v>iPad Pro 5</v>
      </c>
      <c r="I2" t="str">
        <f>_xlfn.XLOOKUP(Data_AnTuTu[[#This Row],[Device_Clean]], Tbl_Mapping[Device_Clean], Tbl_Mapping[True_CPU], "Tidak Ditemukan")</f>
        <v>M1</v>
      </c>
      <c r="J2" t="str">
        <f>_xlfn.XLOOKUP(Data_AnTuTu[[#This Row],[CPU_Name_Bridge]], Data_CPU[CPU_Clean], Data_CPU[coreCount], "")</f>
        <v/>
      </c>
      <c r="L2" t="s">
        <v>525</v>
      </c>
    </row>
    <row r="3" spans="1:13" x14ac:dyDescent="0.3">
      <c r="A3" t="s">
        <v>526</v>
      </c>
      <c r="B3" t="s">
        <v>7</v>
      </c>
      <c r="C3">
        <v>351212</v>
      </c>
      <c r="D3">
        <v>722399</v>
      </c>
      <c r="E3">
        <v>137145</v>
      </c>
      <c r="F3">
        <v>149463</v>
      </c>
      <c r="G3" s="2">
        <v>1360219</v>
      </c>
      <c r="H3" t="str">
        <f>IFERROR(TRIM(LEFT(Data_AnTuTu[[#This Row],[Device]], FIND("(",Data_AnTuTu[[#This Row],[Device]])-1)), TRIM(Data_AnTuTu[[#This Row],[Device]]))</f>
        <v>iPad Pro 5</v>
      </c>
      <c r="I3" t="str">
        <f>_xlfn.XLOOKUP(Data_AnTuTu[[#This Row],[Device_Clean]], Tbl_Mapping[Device_Clean], Tbl_Mapping[True_CPU], "Tidak Ditemukan")</f>
        <v>M1</v>
      </c>
      <c r="J3" t="str">
        <f>_xlfn.XLOOKUP(Data_AnTuTu[[#This Row],[CPU_Name_Bridge]], Data_CPU[CPU_Clean], Data_CPU[coreCount], "")</f>
        <v/>
      </c>
      <c r="L3" s="11" cm="1">
        <f t="array" ref="L3">COUNTIF(Device_AnTuTu,Data_AnTuTu[[#This Row],[Device]])</f>
        <v>0</v>
      </c>
    </row>
    <row r="4" spans="1:13" x14ac:dyDescent="0.3">
      <c r="A4" t="s">
        <v>527</v>
      </c>
      <c r="B4" t="s">
        <v>7</v>
      </c>
      <c r="C4">
        <v>345275</v>
      </c>
      <c r="D4">
        <v>635015</v>
      </c>
      <c r="E4">
        <v>107955</v>
      </c>
      <c r="F4">
        <v>140140</v>
      </c>
      <c r="G4" s="2">
        <v>1228385</v>
      </c>
      <c r="H4" t="str">
        <f>IFERROR(TRIM(LEFT(Data_AnTuTu[[#This Row],[Device]], FIND("(",Data_AnTuTu[[#This Row],[Device]])-1)), TRIM(Data_AnTuTu[[#This Row],[Device]]))</f>
        <v>iPad Air 5</v>
      </c>
      <c r="I4" t="str">
        <f>_xlfn.XLOOKUP(Data_AnTuTu[[#This Row],[Device_Clean]], Tbl_Mapping[Device_Clean], Tbl_Mapping[True_CPU], "Tidak Ditemukan")</f>
        <v>M1</v>
      </c>
      <c r="J4" t="str">
        <f>_xlfn.XLOOKUP(Data_AnTuTu[[#This Row],[CPU_Name_Bridge]], Data_CPU[CPU_Clean], Data_CPU[coreCount], "")</f>
        <v/>
      </c>
    </row>
    <row r="5" spans="1:13" x14ac:dyDescent="0.3">
      <c r="A5" t="s">
        <v>528</v>
      </c>
      <c r="B5" t="s">
        <v>529</v>
      </c>
      <c r="C5">
        <v>235998</v>
      </c>
      <c r="D5">
        <v>445681</v>
      </c>
      <c r="E5">
        <v>175442</v>
      </c>
      <c r="F5">
        <v>181650</v>
      </c>
      <c r="G5" s="2">
        <v>1038771</v>
      </c>
      <c r="H5" t="str">
        <f>IFERROR(TRIM(LEFT(Data_AnTuTu[[#This Row],[Device]], FIND("(",Data_AnTuTu[[#This Row],[Device]])-1)), TRIM(Data_AnTuTu[[#This Row],[Device]]))</f>
        <v>Red Magic 7</v>
      </c>
      <c r="I5" t="str">
        <f>_xlfn.XLOOKUP(Data_AnTuTu[[#This Row],[Device_Clean]], Tbl_Mapping[Device_Clean], Tbl_Mapping[True_CPU], "Tidak Ditemukan")</f>
        <v>Snapdragon 8 Gen 1</v>
      </c>
      <c r="J5">
        <f>_xlfn.XLOOKUP(Data_AnTuTu[[#This Row],[CPU_Name_Bridge]], Data_CPU[CPU_Clean], Data_CPU[coreCount], "")</f>
        <v>8</v>
      </c>
    </row>
    <row r="6" spans="1:13" x14ac:dyDescent="0.3">
      <c r="A6" t="s">
        <v>530</v>
      </c>
      <c r="B6" t="s">
        <v>531</v>
      </c>
      <c r="C6">
        <v>244999</v>
      </c>
      <c r="D6">
        <v>390026</v>
      </c>
      <c r="E6">
        <v>169449</v>
      </c>
      <c r="F6">
        <v>182367</v>
      </c>
      <c r="G6" s="2">
        <v>986840</v>
      </c>
      <c r="H6" t="str">
        <f>IFERROR(TRIM(LEFT(Data_AnTuTu[[#This Row],[Device]], FIND("(",Data_AnTuTu[[#This Row],[Device]])-1)), TRIM(Data_AnTuTu[[#This Row],[Device]]))</f>
        <v>Redmi K50 Pro</v>
      </c>
      <c r="I6" t="str">
        <f>_xlfn.XLOOKUP(Data_AnTuTu[[#This Row],[Device_Clean]], Tbl_Mapping[Device_Clean], Tbl_Mapping[True_CPU], "Tidak Ditemukan")</f>
        <v>Dimensity 9000</v>
      </c>
      <c r="J6">
        <f>_xlfn.XLOOKUP(Data_AnTuTu[[#This Row],[CPU_Name_Bridge]], Data_CPU[CPU_Clean], Data_CPU[coreCount], "")</f>
        <v>8</v>
      </c>
    </row>
    <row r="7" spans="1:13" x14ac:dyDescent="0.3">
      <c r="A7" t="s">
        <v>532</v>
      </c>
      <c r="B7" t="s">
        <v>531</v>
      </c>
      <c r="C7">
        <v>221570</v>
      </c>
      <c r="D7">
        <v>427999</v>
      </c>
      <c r="E7">
        <v>164052</v>
      </c>
      <c r="F7">
        <v>168607</v>
      </c>
      <c r="G7" s="2">
        <v>982228</v>
      </c>
      <c r="H7" t="str">
        <f>IFERROR(TRIM(LEFT(Data_AnTuTu[[#This Row],[Device]], FIND("(",Data_AnTuTu[[#This Row],[Device]])-1)), TRIM(Data_AnTuTu[[#This Row],[Device]]))</f>
        <v>Mi 12 Pro</v>
      </c>
      <c r="I7" t="str">
        <f>_xlfn.XLOOKUP(Data_AnTuTu[[#This Row],[Device_Clean]], Tbl_Mapping[Device_Clean], Tbl_Mapping[True_CPU], "Tidak Ditemukan")</f>
        <v>Snapdragon 8 Gen 1</v>
      </c>
      <c r="J7">
        <f>_xlfn.XLOOKUP(Data_AnTuTu[[#This Row],[CPU_Name_Bridge]], Data_CPU[CPU_Clean], Data_CPU[coreCount], "")</f>
        <v>8</v>
      </c>
    </row>
    <row r="8" spans="1:13" x14ac:dyDescent="0.3">
      <c r="A8" t="s">
        <v>533</v>
      </c>
      <c r="B8" t="s">
        <v>534</v>
      </c>
      <c r="C8">
        <v>217615</v>
      </c>
      <c r="D8">
        <v>430290</v>
      </c>
      <c r="E8">
        <v>159805</v>
      </c>
      <c r="F8">
        <v>169686</v>
      </c>
      <c r="G8" s="2">
        <v>977395</v>
      </c>
      <c r="H8" t="str">
        <f>IFERROR(TRIM(LEFT(Data_AnTuTu[[#This Row],[Device]], FIND("(",Data_AnTuTu[[#This Row],[Device]])-1)), TRIM(Data_AnTuTu[[#This Row],[Device]]))</f>
        <v>Motorola Edge 30 Pro</v>
      </c>
      <c r="I8" t="str">
        <f>_xlfn.XLOOKUP(Data_AnTuTu[[#This Row],[Device_Clean]], Tbl_Mapping[Device_Clean], Tbl_Mapping[True_CPU], "Tidak Ditemukan")</f>
        <v>Snapdragon 8 Gen 1</v>
      </c>
      <c r="J8">
        <f>_xlfn.XLOOKUP(Data_AnTuTu[[#This Row],[CPU_Name_Bridge]], Data_CPU[CPU_Clean], Data_CPU[coreCount], "")</f>
        <v>8</v>
      </c>
    </row>
    <row r="9" spans="1:13" x14ac:dyDescent="0.3">
      <c r="A9" t="s">
        <v>535</v>
      </c>
      <c r="B9" t="s">
        <v>7</v>
      </c>
      <c r="C9">
        <v>229713</v>
      </c>
      <c r="D9">
        <v>490000</v>
      </c>
      <c r="E9">
        <v>125757</v>
      </c>
      <c r="F9">
        <v>124585</v>
      </c>
      <c r="G9" s="2">
        <v>970055</v>
      </c>
      <c r="H9" t="str">
        <f>IFERROR(TRIM(LEFT(Data_AnTuTu[[#This Row],[Device]], FIND("(",Data_AnTuTu[[#This Row],[Device]])-1)), TRIM(Data_AnTuTu[[#This Row],[Device]]))</f>
        <v>iPad Pro 4</v>
      </c>
      <c r="I9" t="str">
        <f>_xlfn.XLOOKUP(Data_AnTuTu[[#This Row],[Device_Clean]], Tbl_Mapping[Device_Clean], Tbl_Mapping[True_CPU], "Tidak Ditemukan")</f>
        <v>A12Z Bionic</v>
      </c>
      <c r="J9" t="str">
        <f>_xlfn.XLOOKUP(Data_AnTuTu[[#This Row],[CPU_Name_Bridge]], Data_CPU[CPU_Clean], Data_CPU[coreCount], "")</f>
        <v/>
      </c>
    </row>
    <row r="10" spans="1:13" x14ac:dyDescent="0.3">
      <c r="A10" t="s">
        <v>536</v>
      </c>
      <c r="B10" t="s">
        <v>537</v>
      </c>
      <c r="C10">
        <v>218433</v>
      </c>
      <c r="D10">
        <v>418406</v>
      </c>
      <c r="E10">
        <v>162502</v>
      </c>
      <c r="F10">
        <v>167575</v>
      </c>
      <c r="G10" s="2">
        <v>966916</v>
      </c>
      <c r="H10" t="str">
        <f>IFERROR(TRIM(LEFT(Data_AnTuTu[[#This Row],[Device]], FIND("(",Data_AnTuTu[[#This Row],[Device]])-1)), TRIM(Data_AnTuTu[[#This Row],[Device]]))</f>
        <v>realme GT2 Pro</v>
      </c>
      <c r="I10" t="str">
        <f>_xlfn.XLOOKUP(Data_AnTuTu[[#This Row],[Device_Clean]], Tbl_Mapping[Device_Clean], Tbl_Mapping[True_CPU], "Tidak Ditemukan")</f>
        <v>Snapdragon 8 Gen 1</v>
      </c>
      <c r="J10">
        <f>_xlfn.XLOOKUP(Data_AnTuTu[[#This Row],[CPU_Name_Bridge]], Data_CPU[CPU_Clean], Data_CPU[coreCount], "")</f>
        <v>8</v>
      </c>
    </row>
    <row r="11" spans="1:13" x14ac:dyDescent="0.3">
      <c r="A11" t="s">
        <v>538</v>
      </c>
      <c r="B11" t="s">
        <v>539</v>
      </c>
      <c r="C11">
        <v>216549</v>
      </c>
      <c r="D11">
        <v>410066</v>
      </c>
      <c r="E11">
        <v>156134</v>
      </c>
      <c r="F11">
        <v>171587</v>
      </c>
      <c r="G11" s="2">
        <v>954336</v>
      </c>
      <c r="H11" t="str">
        <f>IFERROR(TRIM(LEFT(Data_AnTuTu[[#This Row],[Device]], FIND("(",Data_AnTuTu[[#This Row],[Device]])-1)), TRIM(Data_AnTuTu[[#This Row],[Device]]))</f>
        <v>iQOO 9 Pro</v>
      </c>
      <c r="I11" t="str">
        <f>_xlfn.XLOOKUP(Data_AnTuTu[[#This Row],[Device_Clean]], Tbl_Mapping[Device_Clean], Tbl_Mapping[True_CPU], "Tidak Ditemukan")</f>
        <v>Snapdragon 8 Gen 1</v>
      </c>
      <c r="J11">
        <f>_xlfn.XLOOKUP(Data_AnTuTu[[#This Row],[CPU_Name_Bridge]], Data_CPU[CPU_Clean], Data_CPU[coreCount], "")</f>
        <v>8</v>
      </c>
    </row>
    <row r="12" spans="1:13" x14ac:dyDescent="0.3">
      <c r="A12" t="s">
        <v>540</v>
      </c>
      <c r="B12" t="s">
        <v>7</v>
      </c>
      <c r="C12">
        <v>229116</v>
      </c>
      <c r="D12">
        <v>480648</v>
      </c>
      <c r="E12">
        <v>118624</v>
      </c>
      <c r="F12">
        <v>123241</v>
      </c>
      <c r="G12" s="2">
        <v>951629</v>
      </c>
      <c r="H12" t="str">
        <f>IFERROR(TRIM(LEFT(Data_AnTuTu[[#This Row],[Device]], FIND("(",Data_AnTuTu[[#This Row],[Device]])-1)), TRIM(Data_AnTuTu[[#This Row],[Device]]))</f>
        <v>iPad Pro 3</v>
      </c>
      <c r="I12" t="str">
        <f>_xlfn.XLOOKUP(Data_AnTuTu[[#This Row],[Device_Clean]], Tbl_Mapping[Device_Clean], Tbl_Mapping[True_CPU], "Tidak Ditemukan")</f>
        <v>A12X Bionic</v>
      </c>
      <c r="J12" t="str">
        <f>_xlfn.XLOOKUP(Data_AnTuTu[[#This Row],[CPU_Name_Bridge]], Data_CPU[CPU_Clean], Data_CPU[coreCount], "")</f>
        <v/>
      </c>
    </row>
    <row r="13" spans="1:13" x14ac:dyDescent="0.3">
      <c r="A13" t="s">
        <v>541</v>
      </c>
      <c r="B13" t="s">
        <v>7</v>
      </c>
      <c r="C13">
        <v>280147</v>
      </c>
      <c r="D13">
        <v>371150</v>
      </c>
      <c r="E13">
        <v>163707</v>
      </c>
      <c r="F13">
        <v>135420</v>
      </c>
      <c r="G13" s="2">
        <v>950424</v>
      </c>
      <c r="H13" t="str">
        <f>IFERROR(TRIM(LEFT(Data_AnTuTu[[#This Row],[Device]], FIND("(",Data_AnTuTu[[#This Row],[Device]])-1)), TRIM(Data_AnTuTu[[#This Row],[Device]]))</f>
        <v>iPhone 13 Pro Max</v>
      </c>
      <c r="I13" t="str">
        <f>_xlfn.XLOOKUP(Data_AnTuTu[[#This Row],[Device_Clean]], Tbl_Mapping[Device_Clean], Tbl_Mapping[True_CPU], "Tidak Ditemukan")</f>
        <v>A15 Bionic</v>
      </c>
      <c r="J13">
        <f>_xlfn.XLOOKUP(Data_AnTuTu[[#This Row],[CPU_Name_Bridge]], Data_CPU[CPU_Clean], Data_CPU[coreCount], "")</f>
        <v>6</v>
      </c>
    </row>
    <row r="14" spans="1:13" x14ac:dyDescent="0.3">
      <c r="A14" t="s">
        <v>542</v>
      </c>
      <c r="B14" t="s">
        <v>531</v>
      </c>
      <c r="C14">
        <v>215610</v>
      </c>
      <c r="D14">
        <v>409770</v>
      </c>
      <c r="E14">
        <v>162098</v>
      </c>
      <c r="F14">
        <v>160914</v>
      </c>
      <c r="G14" s="2">
        <v>948391</v>
      </c>
      <c r="H14" t="str">
        <f>IFERROR(TRIM(LEFT(Data_AnTuTu[[#This Row],[Device]], FIND("(",Data_AnTuTu[[#This Row],[Device]])-1)), TRIM(Data_AnTuTu[[#This Row],[Device]]))</f>
        <v>Mi 12</v>
      </c>
      <c r="I14" t="str">
        <f>_xlfn.XLOOKUP(Data_AnTuTu[[#This Row],[Device_Clean]], Tbl_Mapping[Device_Clean], Tbl_Mapping[True_CPU], "Tidak Ditemukan")</f>
        <v>Snapdragon 8 Gen 1</v>
      </c>
      <c r="J14">
        <f>_xlfn.XLOOKUP(Data_AnTuTu[[#This Row],[CPU_Name_Bridge]], Data_CPU[CPU_Clean], Data_CPU[coreCount], "")</f>
        <v>8</v>
      </c>
    </row>
    <row r="15" spans="1:13" x14ac:dyDescent="0.3">
      <c r="A15" t="s">
        <v>543</v>
      </c>
      <c r="B15" t="s">
        <v>17</v>
      </c>
      <c r="C15">
        <v>219733</v>
      </c>
      <c r="D15">
        <v>397965</v>
      </c>
      <c r="E15">
        <v>167766</v>
      </c>
      <c r="F15">
        <v>157386</v>
      </c>
      <c r="G15" s="2">
        <v>942849</v>
      </c>
      <c r="H15" t="str">
        <f>IFERROR(TRIM(LEFT(Data_AnTuTu[[#This Row],[Device]], FIND("(",Data_AnTuTu[[#This Row],[Device]])-1)), TRIM(Data_AnTuTu[[#This Row],[Device]]))</f>
        <v>Galaxy S22 Ultra 5G</v>
      </c>
      <c r="I15" t="str">
        <f>_xlfn.XLOOKUP(Data_AnTuTu[[#This Row],[Device_Clean]], Tbl_Mapping[Device_Clean], Tbl_Mapping[True_CPU], "Tidak Ditemukan")</f>
        <v>Snapdragon 8 Gen 1</v>
      </c>
      <c r="J15">
        <f>_xlfn.XLOOKUP(Data_AnTuTu[[#This Row],[CPU_Name_Bridge]], Data_CPU[CPU_Clean], Data_CPU[coreCount], "")</f>
        <v>8</v>
      </c>
    </row>
    <row r="16" spans="1:13" x14ac:dyDescent="0.3">
      <c r="A16" t="s">
        <v>544</v>
      </c>
      <c r="B16" t="s">
        <v>7</v>
      </c>
      <c r="C16">
        <v>276878</v>
      </c>
      <c r="D16">
        <v>366104</v>
      </c>
      <c r="E16">
        <v>163444</v>
      </c>
      <c r="F16">
        <v>133505</v>
      </c>
      <c r="G16" s="2">
        <v>939931</v>
      </c>
      <c r="H16" t="str">
        <f>IFERROR(TRIM(LEFT(Data_AnTuTu[[#This Row],[Device]], FIND("(",Data_AnTuTu[[#This Row],[Device]])-1)), TRIM(Data_AnTuTu[[#This Row],[Device]]))</f>
        <v>iPhone 13 Pro</v>
      </c>
      <c r="I16" t="str">
        <f>_xlfn.XLOOKUP(Data_AnTuTu[[#This Row],[Device_Clean]], Tbl_Mapping[Device_Clean], Tbl_Mapping[True_CPU], "Tidak Ditemukan")</f>
        <v>A15 Bionic</v>
      </c>
      <c r="J16">
        <f>_xlfn.XLOOKUP(Data_AnTuTu[[#This Row],[CPU_Name_Bridge]], Data_CPU[CPU_Clean], Data_CPU[coreCount], "")</f>
        <v>6</v>
      </c>
    </row>
    <row r="17" spans="1:10" x14ac:dyDescent="0.3">
      <c r="A17" t="s">
        <v>545</v>
      </c>
      <c r="B17" t="s">
        <v>7</v>
      </c>
      <c r="C17">
        <v>229338</v>
      </c>
      <c r="D17">
        <v>465562</v>
      </c>
      <c r="E17">
        <v>118147</v>
      </c>
      <c r="F17">
        <v>120285</v>
      </c>
      <c r="G17" s="2">
        <v>933332</v>
      </c>
      <c r="H17" t="str">
        <f>IFERROR(TRIM(LEFT(Data_AnTuTu[[#This Row],[Device]], FIND("(",Data_AnTuTu[[#This Row],[Device]])-1)), TRIM(Data_AnTuTu[[#This Row],[Device]]))</f>
        <v>iPad Pro 3</v>
      </c>
      <c r="I17" t="str">
        <f>_xlfn.XLOOKUP(Data_AnTuTu[[#This Row],[Device_Clean]], Tbl_Mapping[Device_Clean], Tbl_Mapping[True_CPU], "Tidak Ditemukan")</f>
        <v>A12X Bionic</v>
      </c>
      <c r="J17" t="str">
        <f>_xlfn.XLOOKUP(Data_AnTuTu[[#This Row],[CPU_Name_Bridge]], Data_CPU[CPU_Clean], Data_CPU[coreCount], "")</f>
        <v/>
      </c>
    </row>
    <row r="18" spans="1:10" x14ac:dyDescent="0.3">
      <c r="A18" t="s">
        <v>546</v>
      </c>
      <c r="B18" t="s">
        <v>7</v>
      </c>
      <c r="C18">
        <v>229635</v>
      </c>
      <c r="D18">
        <v>484190</v>
      </c>
      <c r="E18">
        <v>97571</v>
      </c>
      <c r="F18">
        <v>121386</v>
      </c>
      <c r="G18" s="2">
        <v>932782</v>
      </c>
      <c r="H18" t="str">
        <f>IFERROR(TRIM(LEFT(Data_AnTuTu[[#This Row],[Device]], FIND("(",Data_AnTuTu[[#This Row],[Device]])-1)), TRIM(Data_AnTuTu[[#This Row],[Device]]))</f>
        <v>iPad Pro 4</v>
      </c>
      <c r="I18" t="str">
        <f>_xlfn.XLOOKUP(Data_AnTuTu[[#This Row],[Device_Clean]], Tbl_Mapping[Device_Clean], Tbl_Mapping[True_CPU], "Tidak Ditemukan")</f>
        <v>A12Z Bionic</v>
      </c>
      <c r="J18" t="str">
        <f>_xlfn.XLOOKUP(Data_AnTuTu[[#This Row],[CPU_Name_Bridge]], Data_CPU[CPU_Clean], Data_CPU[coreCount], "")</f>
        <v/>
      </c>
    </row>
    <row r="19" spans="1:10" x14ac:dyDescent="0.3">
      <c r="A19" t="s">
        <v>547</v>
      </c>
      <c r="B19" t="s">
        <v>17</v>
      </c>
      <c r="C19">
        <v>221164</v>
      </c>
      <c r="D19">
        <v>367557</v>
      </c>
      <c r="E19">
        <v>173807</v>
      </c>
      <c r="F19">
        <v>151948</v>
      </c>
      <c r="G19" s="2">
        <v>914476</v>
      </c>
      <c r="H19" t="str">
        <f>IFERROR(TRIM(LEFT(Data_AnTuTu[[#This Row],[Device]], FIND("(",Data_AnTuTu[[#This Row],[Device]])-1)), TRIM(Data_AnTuTu[[#This Row],[Device]]))</f>
        <v>Galaxy S22 Ultra 5G</v>
      </c>
      <c r="I19" t="str">
        <f>_xlfn.XLOOKUP(Data_AnTuTu[[#This Row],[Device_Clean]], Tbl_Mapping[Device_Clean], Tbl_Mapping[True_CPU], "Tidak Ditemukan")</f>
        <v>Snapdragon 8 Gen 1</v>
      </c>
      <c r="J19">
        <f>_xlfn.XLOOKUP(Data_AnTuTu[[#This Row],[CPU_Name_Bridge]], Data_CPU[CPU_Clean], Data_CPU[coreCount], "")</f>
        <v>8</v>
      </c>
    </row>
    <row r="20" spans="1:10" x14ac:dyDescent="0.3">
      <c r="A20" t="s">
        <v>548</v>
      </c>
      <c r="B20" t="s">
        <v>7</v>
      </c>
      <c r="C20">
        <v>271405</v>
      </c>
      <c r="D20">
        <v>411493</v>
      </c>
      <c r="E20">
        <v>97021</v>
      </c>
      <c r="F20">
        <v>132231</v>
      </c>
      <c r="G20" s="2">
        <v>912150</v>
      </c>
      <c r="H20" t="str">
        <f>IFERROR(TRIM(LEFT(Data_AnTuTu[[#This Row],[Device]], FIND("(",Data_AnTuTu[[#This Row],[Device]])-1)), TRIM(Data_AnTuTu[[#This Row],[Device]]))</f>
        <v>iPad mini 6</v>
      </c>
      <c r="I20" t="str">
        <f>_xlfn.XLOOKUP(Data_AnTuTu[[#This Row],[Device_Clean]], Tbl_Mapping[Device_Clean], Tbl_Mapping[True_CPU], "Tidak Ditemukan")</f>
        <v>A15 Bionic</v>
      </c>
      <c r="J20">
        <f>_xlfn.XLOOKUP(Data_AnTuTu[[#This Row],[CPU_Name_Bridge]], Data_CPU[CPU_Clean], Data_CPU[coreCount], "")</f>
        <v>6</v>
      </c>
    </row>
    <row r="21" spans="1:10" x14ac:dyDescent="0.3">
      <c r="A21" t="s">
        <v>549</v>
      </c>
      <c r="B21" t="s">
        <v>17</v>
      </c>
      <c r="C21">
        <v>217684</v>
      </c>
      <c r="D21">
        <v>378119</v>
      </c>
      <c r="E21">
        <v>157208</v>
      </c>
      <c r="F21">
        <v>152510</v>
      </c>
      <c r="G21" s="2">
        <v>905520</v>
      </c>
      <c r="H21" t="str">
        <f>IFERROR(TRIM(LEFT(Data_AnTuTu[[#This Row],[Device]], FIND("(",Data_AnTuTu[[#This Row],[Device]])-1)), TRIM(Data_AnTuTu[[#This Row],[Device]]))</f>
        <v>Galaxy S22+ 5G</v>
      </c>
      <c r="I21" t="str">
        <f>_xlfn.XLOOKUP(Data_AnTuTu[[#This Row],[Device_Clean]], Tbl_Mapping[Device_Clean], Tbl_Mapping[True_CPU], "Tidak Ditemukan")</f>
        <v>Snapdragon 8 Gen 1</v>
      </c>
      <c r="J21">
        <f>_xlfn.XLOOKUP(Data_AnTuTu[[#This Row],[CPU_Name_Bridge]], Data_CPU[CPU_Clean], Data_CPU[coreCount], "")</f>
        <v>8</v>
      </c>
    </row>
    <row r="22" spans="1:10" x14ac:dyDescent="0.3">
      <c r="A22" t="s">
        <v>550</v>
      </c>
      <c r="B22" t="s">
        <v>7</v>
      </c>
      <c r="C22">
        <v>271424</v>
      </c>
      <c r="D22">
        <v>376075</v>
      </c>
      <c r="E22">
        <v>120099</v>
      </c>
      <c r="F22">
        <v>130079</v>
      </c>
      <c r="G22" s="2">
        <v>897677</v>
      </c>
      <c r="H22" t="str">
        <f>IFERROR(TRIM(LEFT(Data_AnTuTu[[#This Row],[Device]], FIND("(",Data_AnTuTu[[#This Row],[Device]])-1)), TRIM(Data_AnTuTu[[#This Row],[Device]]))</f>
        <v>iPhone 13 mini</v>
      </c>
      <c r="I22" t="str">
        <f>_xlfn.XLOOKUP(Data_AnTuTu[[#This Row],[Device_Clean]], Tbl_Mapping[Device_Clean], Tbl_Mapping[True_CPU], "Tidak Ditemukan")</f>
        <v>A15 Bionic</v>
      </c>
      <c r="J22">
        <f>_xlfn.XLOOKUP(Data_AnTuTu[[#This Row],[CPU_Name_Bridge]], Data_CPU[CPU_Clean], Data_CPU[coreCount], "")</f>
        <v>6</v>
      </c>
    </row>
    <row r="23" spans="1:10" x14ac:dyDescent="0.3">
      <c r="A23" t="s">
        <v>551</v>
      </c>
      <c r="B23" t="s">
        <v>7</v>
      </c>
      <c r="C23">
        <v>272217</v>
      </c>
      <c r="D23">
        <v>373676</v>
      </c>
      <c r="E23">
        <v>119565</v>
      </c>
      <c r="F23">
        <v>130474</v>
      </c>
      <c r="G23" s="2">
        <v>895932</v>
      </c>
      <c r="H23" t="str">
        <f>IFERROR(TRIM(LEFT(Data_AnTuTu[[#This Row],[Device]], FIND("(",Data_AnTuTu[[#This Row],[Device]])-1)), TRIM(Data_AnTuTu[[#This Row],[Device]]))</f>
        <v>iPhone 13</v>
      </c>
      <c r="I23" t="str">
        <f>_xlfn.XLOOKUP(Data_AnTuTu[[#This Row],[Device_Clean]], Tbl_Mapping[Device_Clean], Tbl_Mapping[True_CPU], "Tidak Ditemukan")</f>
        <v>A15 Bionic</v>
      </c>
      <c r="J23">
        <f>_xlfn.XLOOKUP(Data_AnTuTu[[#This Row],[CPU_Name_Bridge]], Data_CPU[CPU_Clean], Data_CPU[coreCount], "")</f>
        <v>6</v>
      </c>
    </row>
    <row r="24" spans="1:10" x14ac:dyDescent="0.3">
      <c r="A24" t="s">
        <v>552</v>
      </c>
      <c r="B24" t="s">
        <v>17</v>
      </c>
      <c r="C24">
        <v>217430</v>
      </c>
      <c r="D24">
        <v>366290</v>
      </c>
      <c r="E24">
        <v>152223</v>
      </c>
      <c r="F24">
        <v>146811</v>
      </c>
      <c r="G24" s="2">
        <v>882752</v>
      </c>
      <c r="H24" t="str">
        <f>IFERROR(TRIM(LEFT(Data_AnTuTu[[#This Row],[Device]], FIND("(",Data_AnTuTu[[#This Row],[Device]])-1)), TRIM(Data_AnTuTu[[#This Row],[Device]]))</f>
        <v>Galaxy S22+ 5G</v>
      </c>
      <c r="I24" t="str">
        <f>_xlfn.XLOOKUP(Data_AnTuTu[[#This Row],[Device_Clean]], Tbl_Mapping[Device_Clean], Tbl_Mapping[True_CPU], "Tidak Ditemukan")</f>
        <v>Snapdragon 8 Gen 1</v>
      </c>
      <c r="J24">
        <f>_xlfn.XLOOKUP(Data_AnTuTu[[#This Row],[CPU_Name_Bridge]], Data_CPU[CPU_Clean], Data_CPU[coreCount], "")</f>
        <v>8</v>
      </c>
    </row>
    <row r="25" spans="1:10" x14ac:dyDescent="0.3">
      <c r="A25" t="s">
        <v>553</v>
      </c>
      <c r="B25" t="s">
        <v>554</v>
      </c>
      <c r="C25">
        <v>173486</v>
      </c>
      <c r="D25">
        <v>431331</v>
      </c>
      <c r="E25">
        <v>126964</v>
      </c>
      <c r="F25">
        <v>142398</v>
      </c>
      <c r="G25" s="2">
        <v>874178</v>
      </c>
      <c r="H25" t="str">
        <f>IFERROR(TRIM(LEFT(Data_AnTuTu[[#This Row],[Device]], FIND("(",Data_AnTuTu[[#This Row],[Device]])-1)), TRIM(Data_AnTuTu[[#This Row],[Device]]))</f>
        <v>OPPO Find X5 Pro</v>
      </c>
      <c r="I25" t="str">
        <f>_xlfn.XLOOKUP(Data_AnTuTu[[#This Row],[Device_Clean]], Tbl_Mapping[Device_Clean], Tbl_Mapping[True_CPU], "Tidak Ditemukan")</f>
        <v>Snapdragon 8 Gen 1</v>
      </c>
      <c r="J25">
        <f>_xlfn.XLOOKUP(Data_AnTuTu[[#This Row],[CPU_Name_Bridge]], Data_CPU[CPU_Clean], Data_CPU[coreCount], "")</f>
        <v>8</v>
      </c>
    </row>
    <row r="26" spans="1:10" x14ac:dyDescent="0.3">
      <c r="A26" t="s">
        <v>555</v>
      </c>
      <c r="B26" t="s">
        <v>17</v>
      </c>
      <c r="C26">
        <v>211810</v>
      </c>
      <c r="D26">
        <v>348036</v>
      </c>
      <c r="E26">
        <v>152688</v>
      </c>
      <c r="F26">
        <v>145316</v>
      </c>
      <c r="G26" s="2">
        <v>857850</v>
      </c>
      <c r="H26" t="str">
        <f>IFERROR(TRIM(LEFT(Data_AnTuTu[[#This Row],[Device]], FIND("(",Data_AnTuTu[[#This Row],[Device]])-1)), TRIM(Data_AnTuTu[[#This Row],[Device]]))</f>
        <v>Galaxy S22 5G</v>
      </c>
      <c r="I26" t="str">
        <f>_xlfn.XLOOKUP(Data_AnTuTu[[#This Row],[Device_Clean]], Tbl_Mapping[Device_Clean], Tbl_Mapping[True_CPU], "Tidak Ditemukan")</f>
        <v>Exynos 2200</v>
      </c>
      <c r="J26">
        <f>_xlfn.XLOOKUP(Data_AnTuTu[[#This Row],[CPU_Name_Bridge]], Data_CPU[CPU_Clean], Data_CPU[coreCount], "")</f>
        <v>8</v>
      </c>
    </row>
    <row r="27" spans="1:10" x14ac:dyDescent="0.3">
      <c r="A27" t="s">
        <v>556</v>
      </c>
      <c r="B27" t="s">
        <v>557</v>
      </c>
      <c r="C27">
        <v>163695</v>
      </c>
      <c r="D27">
        <v>431257</v>
      </c>
      <c r="E27">
        <v>127428</v>
      </c>
      <c r="F27">
        <v>134251</v>
      </c>
      <c r="G27" s="2">
        <v>856630</v>
      </c>
      <c r="H27" t="str">
        <f>IFERROR(TRIM(LEFT(Data_AnTuTu[[#This Row],[Device]], FIND("(",Data_AnTuTu[[#This Row],[Device]])-1)), TRIM(Data_AnTuTu[[#This Row],[Device]]))</f>
        <v>OnePlus 10 Pro 5G</v>
      </c>
      <c r="I27" t="str">
        <f>_xlfn.XLOOKUP(Data_AnTuTu[[#This Row],[Device_Clean]], Tbl_Mapping[Device_Clean], Tbl_Mapping[True_CPU], "Tidak Ditemukan")</f>
        <v>Snapdragon 8 Gen 1</v>
      </c>
      <c r="J27">
        <f>_xlfn.XLOOKUP(Data_AnTuTu[[#This Row],[CPU_Name_Bridge]], Data_CPU[CPU_Clean], Data_CPU[coreCount], "")</f>
        <v>8</v>
      </c>
    </row>
    <row r="28" spans="1:10" x14ac:dyDescent="0.3">
      <c r="A28" t="s">
        <v>558</v>
      </c>
      <c r="B28" t="s">
        <v>7</v>
      </c>
      <c r="C28">
        <v>270518</v>
      </c>
      <c r="D28">
        <v>347978</v>
      </c>
      <c r="E28">
        <v>99202</v>
      </c>
      <c r="F28">
        <v>134764</v>
      </c>
      <c r="G28" s="2">
        <v>852462</v>
      </c>
      <c r="H28" t="str">
        <f>IFERROR(TRIM(LEFT(Data_AnTuTu[[#This Row],[Device]], FIND("(",Data_AnTuTu[[#This Row],[Device]])-1)), TRIM(Data_AnTuTu[[#This Row],[Device]]))</f>
        <v>iPad Air 4</v>
      </c>
      <c r="I28" t="str">
        <f>_xlfn.XLOOKUP(Data_AnTuTu[[#This Row],[Device_Clean]], Tbl_Mapping[Device_Clean], Tbl_Mapping[True_CPU], "Tidak Ditemukan")</f>
        <v>A14 Bionic</v>
      </c>
      <c r="J28">
        <f>_xlfn.XLOOKUP(Data_AnTuTu[[#This Row],[CPU_Name_Bridge]], Data_CPU[CPU_Clean], Data_CPU[coreCount], "")</f>
        <v>6</v>
      </c>
    </row>
    <row r="29" spans="1:10" x14ac:dyDescent="0.3">
      <c r="A29" t="s">
        <v>559</v>
      </c>
      <c r="B29" t="s">
        <v>560</v>
      </c>
      <c r="C29">
        <v>209799</v>
      </c>
      <c r="D29">
        <v>324341</v>
      </c>
      <c r="E29">
        <v>152881</v>
      </c>
      <c r="F29">
        <v>159766</v>
      </c>
      <c r="G29" s="2">
        <v>846786</v>
      </c>
      <c r="H29" t="str">
        <f>IFERROR(TRIM(LEFT(Data_AnTuTu[[#This Row],[Device]], FIND("(",Data_AnTuTu[[#This Row],[Device]])-1)), TRIM(Data_AnTuTu[[#This Row],[Device]]))</f>
        <v>ROG Phone 5s</v>
      </c>
      <c r="I29" t="str">
        <f>_xlfn.XLOOKUP(Data_AnTuTu[[#This Row],[Device_Clean]], Tbl_Mapping[Device_Clean], Tbl_Mapping[True_CPU], "Tidak Ditemukan")</f>
        <v>Snapdragon 888 Plus</v>
      </c>
      <c r="J29">
        <f>_xlfn.XLOOKUP(Data_AnTuTu[[#This Row],[CPU_Name_Bridge]], Data_CPU[CPU_Clean], Data_CPU[coreCount], "")</f>
        <v>8</v>
      </c>
    </row>
    <row r="30" spans="1:10" x14ac:dyDescent="0.3">
      <c r="A30" t="s">
        <v>561</v>
      </c>
      <c r="B30" t="s">
        <v>7</v>
      </c>
      <c r="C30">
        <v>254794</v>
      </c>
      <c r="D30">
        <v>337076</v>
      </c>
      <c r="E30">
        <v>124250</v>
      </c>
      <c r="F30">
        <v>128369</v>
      </c>
      <c r="G30" s="2">
        <v>844489</v>
      </c>
      <c r="H30" t="str">
        <f>IFERROR(TRIM(LEFT(Data_AnTuTu[[#This Row],[Device]], FIND("(",Data_AnTuTu[[#This Row],[Device]])-1)), TRIM(Data_AnTuTu[[#This Row],[Device]]))</f>
        <v>iPhone SE3</v>
      </c>
      <c r="I30" t="str">
        <f>_xlfn.XLOOKUP(Data_AnTuTu[[#This Row],[Device_Clean]], Tbl_Mapping[Device_Clean], Tbl_Mapping[True_CPU], "Tidak Ditemukan")</f>
        <v>A15 Bionic</v>
      </c>
      <c r="J30">
        <f>_xlfn.XLOOKUP(Data_AnTuTu[[#This Row],[CPU_Name_Bridge]], Data_CPU[CPU_Clean], Data_CPU[coreCount], "")</f>
        <v>6</v>
      </c>
    </row>
    <row r="31" spans="1:10" x14ac:dyDescent="0.3">
      <c r="A31" t="s">
        <v>562</v>
      </c>
      <c r="B31" t="s">
        <v>7</v>
      </c>
      <c r="C31">
        <v>253269</v>
      </c>
      <c r="D31">
        <v>331772</v>
      </c>
      <c r="E31">
        <v>128265</v>
      </c>
      <c r="F31">
        <v>130033</v>
      </c>
      <c r="G31" s="2">
        <v>843339</v>
      </c>
      <c r="H31" t="str">
        <f>IFERROR(TRIM(LEFT(Data_AnTuTu[[#This Row],[Device]], FIND("(",Data_AnTuTu[[#This Row],[Device]])-1)), TRIM(Data_AnTuTu[[#This Row],[Device]]))</f>
        <v>iPhone 12 Pro Max</v>
      </c>
      <c r="I31" t="str">
        <f>_xlfn.XLOOKUP(Data_AnTuTu[[#This Row],[Device_Clean]], Tbl_Mapping[Device_Clean], Tbl_Mapping[True_CPU], "Tidak Ditemukan")</f>
        <v>A14 Bionic</v>
      </c>
      <c r="J31">
        <f>_xlfn.XLOOKUP(Data_AnTuTu[[#This Row],[CPU_Name_Bridge]], Data_CPU[CPU_Clean], Data_CPU[coreCount], "")</f>
        <v>6</v>
      </c>
    </row>
    <row r="32" spans="1:10" x14ac:dyDescent="0.3">
      <c r="A32" t="s">
        <v>563</v>
      </c>
      <c r="B32" t="s">
        <v>537</v>
      </c>
      <c r="C32">
        <v>212051</v>
      </c>
      <c r="D32">
        <v>321020</v>
      </c>
      <c r="E32">
        <v>141441</v>
      </c>
      <c r="F32">
        <v>160153</v>
      </c>
      <c r="G32" s="2">
        <v>834664</v>
      </c>
      <c r="H32" t="str">
        <f>IFERROR(TRIM(LEFT(Data_AnTuTu[[#This Row],[Device]], FIND("(",Data_AnTuTu[[#This Row],[Device]])-1)), TRIM(Data_AnTuTu[[#This Row],[Device]]))</f>
        <v>realme GT</v>
      </c>
      <c r="I32" t="str">
        <f>_xlfn.XLOOKUP(Data_AnTuTu[[#This Row],[Device_Clean]], Tbl_Mapping[Device_Clean], Tbl_Mapping[True_CPU], "Tidak Ditemukan")</f>
        <v>Snapdragon 888</v>
      </c>
      <c r="J32">
        <f>_xlfn.XLOOKUP(Data_AnTuTu[[#This Row],[CPU_Name_Bridge]], Data_CPU[CPU_Clean], Data_CPU[coreCount], "")</f>
        <v>8</v>
      </c>
    </row>
    <row r="33" spans="1:10" x14ac:dyDescent="0.3">
      <c r="A33" t="s">
        <v>564</v>
      </c>
      <c r="B33" t="s">
        <v>539</v>
      </c>
      <c r="C33">
        <v>208913</v>
      </c>
      <c r="D33">
        <v>320301</v>
      </c>
      <c r="E33">
        <v>134453</v>
      </c>
      <c r="F33">
        <v>168075</v>
      </c>
      <c r="G33" s="2">
        <v>831742</v>
      </c>
      <c r="H33" t="str">
        <f>IFERROR(TRIM(LEFT(Data_AnTuTu[[#This Row],[Device]], FIND("(",Data_AnTuTu[[#This Row],[Device]])-1)), TRIM(Data_AnTuTu[[#This Row],[Device]]))</f>
        <v>iQOO 9 SE</v>
      </c>
      <c r="I33" t="str">
        <f>_xlfn.XLOOKUP(Data_AnTuTu[[#This Row],[Device_Clean]], Tbl_Mapping[Device_Clean], Tbl_Mapping[True_CPU], "Tidak Ditemukan")</f>
        <v>Snapdragon 888</v>
      </c>
      <c r="J33">
        <f>_xlfn.XLOOKUP(Data_AnTuTu[[#This Row],[CPU_Name_Bridge]], Data_CPU[CPU_Clean], Data_CPU[coreCount], "")</f>
        <v>8</v>
      </c>
    </row>
    <row r="34" spans="1:10" x14ac:dyDescent="0.3">
      <c r="A34" t="s">
        <v>565</v>
      </c>
      <c r="B34" t="s">
        <v>534</v>
      </c>
      <c r="C34">
        <v>203434</v>
      </c>
      <c r="D34">
        <v>311076</v>
      </c>
      <c r="E34">
        <v>135773</v>
      </c>
      <c r="F34">
        <v>165202</v>
      </c>
      <c r="G34" s="2">
        <v>815484</v>
      </c>
      <c r="H34" t="str">
        <f>IFERROR(TRIM(LEFT(Data_AnTuTu[[#This Row],[Device]], FIND("(",Data_AnTuTu[[#This Row],[Device]])-1)), TRIM(Data_AnTuTu[[#This Row],[Device]]))</f>
        <v>Motorola Moto G200 5G</v>
      </c>
      <c r="I34" t="str">
        <f>_xlfn.XLOOKUP(Data_AnTuTu[[#This Row],[Device_Clean]], Tbl_Mapping[Device_Clean], Tbl_Mapping[True_CPU], "Tidak Ditemukan")</f>
        <v>Snapdragon 888 Plus</v>
      </c>
      <c r="J34">
        <f>_xlfn.XLOOKUP(Data_AnTuTu[[#This Row],[CPU_Name_Bridge]], Data_CPU[CPU_Clean], Data_CPU[coreCount], "")</f>
        <v>8</v>
      </c>
    </row>
    <row r="35" spans="1:10" x14ac:dyDescent="0.3">
      <c r="A35" t="s">
        <v>566</v>
      </c>
      <c r="B35" t="s">
        <v>17</v>
      </c>
      <c r="C35">
        <v>212780</v>
      </c>
      <c r="D35">
        <v>294268</v>
      </c>
      <c r="E35">
        <v>160646</v>
      </c>
      <c r="F35">
        <v>146321</v>
      </c>
      <c r="G35" s="2">
        <v>814015</v>
      </c>
      <c r="H35" t="str">
        <f>IFERROR(TRIM(LEFT(Data_AnTuTu[[#This Row],[Device]], FIND("(",Data_AnTuTu[[#This Row],[Device]])-1)), TRIM(Data_AnTuTu[[#This Row],[Device]]))</f>
        <v>Galaxy S22 5G</v>
      </c>
      <c r="I35" t="str">
        <f>_xlfn.XLOOKUP(Data_AnTuTu[[#This Row],[Device_Clean]], Tbl_Mapping[Device_Clean], Tbl_Mapping[True_CPU], "Tidak Ditemukan")</f>
        <v>Exynos 2200</v>
      </c>
      <c r="J35">
        <f>_xlfn.XLOOKUP(Data_AnTuTu[[#This Row],[CPU_Name_Bridge]], Data_CPU[CPU_Clean], Data_CPU[coreCount], "")</f>
        <v>8</v>
      </c>
    </row>
    <row r="36" spans="1:10" x14ac:dyDescent="0.3">
      <c r="A36" t="s">
        <v>567</v>
      </c>
      <c r="B36" t="s">
        <v>7</v>
      </c>
      <c r="C36">
        <v>242843</v>
      </c>
      <c r="D36">
        <v>330095</v>
      </c>
      <c r="E36">
        <v>113139</v>
      </c>
      <c r="F36">
        <v>127326</v>
      </c>
      <c r="G36" s="2">
        <v>813403</v>
      </c>
      <c r="H36" t="str">
        <f>IFERROR(TRIM(LEFT(Data_AnTuTu[[#This Row],[Device]], FIND("(",Data_AnTuTu[[#This Row],[Device]])-1)), TRIM(Data_AnTuTu[[#This Row],[Device]]))</f>
        <v>iPhone 12</v>
      </c>
      <c r="I36" t="str">
        <f>_xlfn.XLOOKUP(Data_AnTuTu[[#This Row],[Device_Clean]], Tbl_Mapping[Device_Clean], Tbl_Mapping[True_CPU], "Tidak Ditemukan")</f>
        <v>A14 Bionic</v>
      </c>
      <c r="J36">
        <f>_xlfn.XLOOKUP(Data_AnTuTu[[#This Row],[CPU_Name_Bridge]], Data_CPU[CPU_Clean], Data_CPU[coreCount], "")</f>
        <v>6</v>
      </c>
    </row>
    <row r="37" spans="1:10" x14ac:dyDescent="0.3">
      <c r="A37" t="s">
        <v>568</v>
      </c>
      <c r="B37" t="s">
        <v>7</v>
      </c>
      <c r="C37">
        <v>241189</v>
      </c>
      <c r="D37">
        <v>327497</v>
      </c>
      <c r="E37">
        <v>114617</v>
      </c>
      <c r="F37">
        <v>128131</v>
      </c>
      <c r="G37" s="2">
        <v>811434</v>
      </c>
      <c r="H37" t="str">
        <f>IFERROR(TRIM(LEFT(Data_AnTuTu[[#This Row],[Device]], FIND("(",Data_AnTuTu[[#This Row],[Device]])-1)), TRIM(Data_AnTuTu[[#This Row],[Device]]))</f>
        <v>iPhone 12 Pro</v>
      </c>
      <c r="I37" t="str">
        <f>_xlfn.XLOOKUP(Data_AnTuTu[[#This Row],[Device_Clean]], Tbl_Mapping[Device_Clean], Tbl_Mapping[True_CPU], "Tidak Ditemukan")</f>
        <v>A14 Bionic</v>
      </c>
      <c r="J37">
        <f>_xlfn.XLOOKUP(Data_AnTuTu[[#This Row],[CPU_Name_Bridge]], Data_CPU[CPU_Clean], Data_CPU[coreCount], "")</f>
        <v>6</v>
      </c>
    </row>
    <row r="38" spans="1:10" x14ac:dyDescent="0.3">
      <c r="A38" t="s">
        <v>569</v>
      </c>
      <c r="B38" t="s">
        <v>557</v>
      </c>
      <c r="C38">
        <v>196161</v>
      </c>
      <c r="D38">
        <v>319886</v>
      </c>
      <c r="E38">
        <v>135250</v>
      </c>
      <c r="F38">
        <v>153115</v>
      </c>
      <c r="G38" s="2">
        <v>804411</v>
      </c>
      <c r="H38" t="str">
        <f>IFERROR(TRIM(LEFT(Data_AnTuTu[[#This Row],[Device]], FIND("(",Data_AnTuTu[[#This Row],[Device]])-1)), TRIM(Data_AnTuTu[[#This Row],[Device]]))</f>
        <v>OnePlus 9 Pro</v>
      </c>
      <c r="I38" t="str">
        <f>_xlfn.XLOOKUP(Data_AnTuTu[[#This Row],[Device_Clean]], Tbl_Mapping[Device_Clean], Tbl_Mapping[True_CPU], "Tidak Ditemukan")</f>
        <v>Snapdragon 888</v>
      </c>
      <c r="J38">
        <f>_xlfn.XLOOKUP(Data_AnTuTu[[#This Row],[CPU_Name_Bridge]], Data_CPU[CPU_Clean], Data_CPU[coreCount], "")</f>
        <v>8</v>
      </c>
    </row>
    <row r="39" spans="1:10" x14ac:dyDescent="0.3">
      <c r="A39" t="s">
        <v>570</v>
      </c>
      <c r="B39" t="s">
        <v>7</v>
      </c>
      <c r="C39">
        <v>244498</v>
      </c>
      <c r="D39">
        <v>314879</v>
      </c>
      <c r="E39">
        <v>116365</v>
      </c>
      <c r="F39">
        <v>126598</v>
      </c>
      <c r="G39" s="2">
        <v>802340</v>
      </c>
      <c r="H39" t="str">
        <f>IFERROR(TRIM(LEFT(Data_AnTuTu[[#This Row],[Device]], FIND("(",Data_AnTuTu[[#This Row],[Device]])-1)), TRIM(Data_AnTuTu[[#This Row],[Device]]))</f>
        <v>iPhone 12 mini</v>
      </c>
      <c r="I39" t="str">
        <f>_xlfn.XLOOKUP(Data_AnTuTu[[#This Row],[Device_Clean]], Tbl_Mapping[Device_Clean], Tbl_Mapping[True_CPU], "Tidak Ditemukan")</f>
        <v>A14 Bionic</v>
      </c>
      <c r="J39">
        <f>_xlfn.XLOOKUP(Data_AnTuTu[[#This Row],[CPU_Name_Bridge]], Data_CPU[CPU_Clean], Data_CPU[coreCount], "")</f>
        <v>6</v>
      </c>
    </row>
    <row r="40" spans="1:10" x14ac:dyDescent="0.3">
      <c r="A40" t="s">
        <v>571</v>
      </c>
      <c r="B40" t="s">
        <v>531</v>
      </c>
      <c r="C40">
        <v>204450</v>
      </c>
      <c r="D40">
        <v>311315</v>
      </c>
      <c r="E40">
        <v>125515</v>
      </c>
      <c r="F40">
        <v>153509</v>
      </c>
      <c r="G40" s="2">
        <v>794789</v>
      </c>
      <c r="H40" t="str">
        <f>IFERROR(TRIM(LEFT(Data_AnTuTu[[#This Row],[Device]], FIND("(",Data_AnTuTu[[#This Row],[Device]])-1)), TRIM(Data_AnTuTu[[#This Row],[Device]]))</f>
        <v>Mi 11i</v>
      </c>
      <c r="I40" t="str">
        <f>_xlfn.XLOOKUP(Data_AnTuTu[[#This Row],[Device_Clean]], Tbl_Mapping[Device_Clean], Tbl_Mapping[True_CPU], "Tidak Ditemukan")</f>
        <v>Snapdragon 888</v>
      </c>
      <c r="J40">
        <f>_xlfn.XLOOKUP(Data_AnTuTu[[#This Row],[CPU_Name_Bridge]], Data_CPU[CPU_Clean], Data_CPU[coreCount], "")</f>
        <v>8</v>
      </c>
    </row>
    <row r="41" spans="1:10" x14ac:dyDescent="0.3">
      <c r="A41" t="s">
        <v>572</v>
      </c>
      <c r="B41" t="s">
        <v>560</v>
      </c>
      <c r="C41">
        <v>195299</v>
      </c>
      <c r="D41">
        <v>307939</v>
      </c>
      <c r="E41">
        <v>131853</v>
      </c>
      <c r="F41">
        <v>153924</v>
      </c>
      <c r="G41" s="2">
        <v>789015</v>
      </c>
      <c r="H41" t="str">
        <f>IFERROR(TRIM(LEFT(Data_AnTuTu[[#This Row],[Device]], FIND("(",Data_AnTuTu[[#This Row],[Device]])-1)), TRIM(Data_AnTuTu[[#This Row],[Device]]))</f>
        <v>Asus Zenfone 8 Mini</v>
      </c>
      <c r="I41" t="str">
        <f>_xlfn.XLOOKUP(Data_AnTuTu[[#This Row],[Device_Clean]], Tbl_Mapping[Device_Clean], Tbl_Mapping[True_CPU], "Tidak Ditemukan")</f>
        <v>Snapdragon 888</v>
      </c>
      <c r="J41">
        <f>_xlfn.XLOOKUP(Data_AnTuTu[[#This Row],[CPU_Name_Bridge]], Data_CPU[CPU_Clean], Data_CPU[coreCount], "")</f>
        <v>8</v>
      </c>
    </row>
    <row r="42" spans="1:10" x14ac:dyDescent="0.3">
      <c r="A42" t="s">
        <v>573</v>
      </c>
      <c r="B42" t="s">
        <v>531</v>
      </c>
      <c r="C42">
        <v>197298</v>
      </c>
      <c r="D42">
        <v>300789</v>
      </c>
      <c r="E42">
        <v>131336</v>
      </c>
      <c r="F42">
        <v>158323</v>
      </c>
      <c r="G42" s="2">
        <v>787745</v>
      </c>
      <c r="H42" t="str">
        <f>IFERROR(TRIM(LEFT(Data_AnTuTu[[#This Row],[Device]], FIND("(",Data_AnTuTu[[#This Row],[Device]])-1)), TRIM(Data_AnTuTu[[#This Row],[Device]]))</f>
        <v>Mi 11 Ultra</v>
      </c>
      <c r="I42" t="str">
        <f>_xlfn.XLOOKUP(Data_AnTuTu[[#This Row],[Device_Clean]], Tbl_Mapping[Device_Clean], Tbl_Mapping[True_CPU], "Tidak Ditemukan")</f>
        <v>Snapdragon 888</v>
      </c>
      <c r="J42">
        <f>_xlfn.XLOOKUP(Data_AnTuTu[[#This Row],[CPU_Name_Bridge]], Data_CPU[CPU_Clean], Data_CPU[coreCount], "")</f>
        <v>8</v>
      </c>
    </row>
    <row r="43" spans="1:10" x14ac:dyDescent="0.3">
      <c r="A43" t="s">
        <v>574</v>
      </c>
      <c r="B43" t="s">
        <v>531</v>
      </c>
      <c r="C43">
        <v>199993</v>
      </c>
      <c r="D43">
        <v>298367</v>
      </c>
      <c r="E43">
        <v>130016</v>
      </c>
      <c r="F43">
        <v>151328</v>
      </c>
      <c r="G43" s="2">
        <v>779704</v>
      </c>
      <c r="H43" t="str">
        <f>IFERROR(TRIM(LEFT(Data_AnTuTu[[#This Row],[Device]], FIND("(",Data_AnTuTu[[#This Row],[Device]])-1)), TRIM(Data_AnTuTu[[#This Row],[Device]]))</f>
        <v>Mi 11T Pro</v>
      </c>
      <c r="I43" t="str">
        <f>_xlfn.XLOOKUP(Data_AnTuTu[[#This Row],[Device_Clean]], Tbl_Mapping[Device_Clean], Tbl_Mapping[True_CPU], "Tidak Ditemukan")</f>
        <v>Snapdragon 888</v>
      </c>
      <c r="J43">
        <f>_xlfn.XLOOKUP(Data_AnTuTu[[#This Row],[CPU_Name_Bridge]], Data_CPU[CPU_Clean], Data_CPU[coreCount], "")</f>
        <v>8</v>
      </c>
    </row>
    <row r="44" spans="1:10" x14ac:dyDescent="0.3">
      <c r="A44" t="s">
        <v>575</v>
      </c>
      <c r="B44" t="s">
        <v>554</v>
      </c>
      <c r="C44">
        <v>192437</v>
      </c>
      <c r="D44">
        <v>300378</v>
      </c>
      <c r="E44">
        <v>137073</v>
      </c>
      <c r="F44">
        <v>147341</v>
      </c>
      <c r="G44" s="2">
        <v>777229</v>
      </c>
      <c r="H44" t="str">
        <f>IFERROR(TRIM(LEFT(Data_AnTuTu[[#This Row],[Device]], FIND("(",Data_AnTuTu[[#This Row],[Device]])-1)), TRIM(Data_AnTuTu[[#This Row],[Device]]))</f>
        <v>OPPO Find X3 Pro</v>
      </c>
      <c r="I44" t="str">
        <f>_xlfn.XLOOKUP(Data_AnTuTu[[#This Row],[Device_Clean]], Tbl_Mapping[Device_Clean], Tbl_Mapping[True_CPU], "Tidak Ditemukan")</f>
        <v>Snapdragon 888</v>
      </c>
      <c r="J44">
        <f>_xlfn.XLOOKUP(Data_AnTuTu[[#This Row],[CPU_Name_Bridge]], Data_CPU[CPU_Clean], Data_CPU[coreCount], "")</f>
        <v>8</v>
      </c>
    </row>
    <row r="45" spans="1:10" x14ac:dyDescent="0.3">
      <c r="A45" t="s">
        <v>576</v>
      </c>
      <c r="B45" t="s">
        <v>531</v>
      </c>
      <c r="C45">
        <v>195922</v>
      </c>
      <c r="D45">
        <v>292240</v>
      </c>
      <c r="E45">
        <v>128323</v>
      </c>
      <c r="F45">
        <v>156020</v>
      </c>
      <c r="G45" s="2">
        <v>772505</v>
      </c>
      <c r="H45" t="str">
        <f>IFERROR(TRIM(LEFT(Data_AnTuTu[[#This Row],[Device]], FIND("(",Data_AnTuTu[[#This Row],[Device]])-1)), TRIM(Data_AnTuTu[[#This Row],[Device]]))</f>
        <v>Mi 11</v>
      </c>
      <c r="I45" t="str">
        <f>_xlfn.XLOOKUP(Data_AnTuTu[[#This Row],[Device_Clean]], Tbl_Mapping[Device_Clean], Tbl_Mapping[True_CPU], "Tidak Ditemukan")</f>
        <v>Snapdragon 888</v>
      </c>
      <c r="J45">
        <f>_xlfn.XLOOKUP(Data_AnTuTu[[#This Row],[CPU_Name_Bridge]], Data_CPU[CPU_Clean], Data_CPU[coreCount], "")</f>
        <v>8</v>
      </c>
    </row>
    <row r="46" spans="1:10" x14ac:dyDescent="0.3">
      <c r="A46" t="s">
        <v>577</v>
      </c>
      <c r="B46" t="s">
        <v>17</v>
      </c>
      <c r="C46">
        <v>193615</v>
      </c>
      <c r="D46">
        <v>288695</v>
      </c>
      <c r="E46">
        <v>135006</v>
      </c>
      <c r="F46">
        <v>151363</v>
      </c>
      <c r="G46" s="2">
        <v>768677</v>
      </c>
      <c r="H46" t="str">
        <f>IFERROR(TRIM(LEFT(Data_AnTuTu[[#This Row],[Device]], FIND("(",Data_AnTuTu[[#This Row],[Device]])-1)), TRIM(Data_AnTuTu[[#This Row],[Device]]))</f>
        <v>Galaxy S21 FE 5G</v>
      </c>
      <c r="I46" t="str">
        <f>_xlfn.XLOOKUP(Data_AnTuTu[[#This Row],[Device_Clean]], Tbl_Mapping[Device_Clean], Tbl_Mapping[True_CPU], "Tidak Ditemukan")</f>
        <v>Snapdragon 888</v>
      </c>
      <c r="J46">
        <f>_xlfn.XLOOKUP(Data_AnTuTu[[#This Row],[CPU_Name_Bridge]], Data_CPU[CPU_Clean], Data_CPU[coreCount], "")</f>
        <v>8</v>
      </c>
    </row>
    <row r="47" spans="1:10" x14ac:dyDescent="0.3">
      <c r="A47" t="s">
        <v>578</v>
      </c>
      <c r="B47" t="s">
        <v>17</v>
      </c>
      <c r="C47">
        <v>198577</v>
      </c>
      <c r="D47">
        <v>274516</v>
      </c>
      <c r="E47">
        <v>135422</v>
      </c>
      <c r="F47">
        <v>148353</v>
      </c>
      <c r="G47" s="2">
        <v>756868</v>
      </c>
      <c r="H47" t="str">
        <f>IFERROR(TRIM(LEFT(Data_AnTuTu[[#This Row],[Device]], FIND("(",Data_AnTuTu[[#This Row],[Device]])-1)), TRIM(Data_AnTuTu[[#This Row],[Device]]))</f>
        <v>Galaxy S21 5G</v>
      </c>
      <c r="I47" t="str">
        <f>_xlfn.XLOOKUP(Data_AnTuTu[[#This Row],[Device_Clean]], Tbl_Mapping[Device_Clean], Tbl_Mapping[True_CPU], "Tidak Ditemukan")</f>
        <v>Snapdragon 888</v>
      </c>
      <c r="J47">
        <f>_xlfn.XLOOKUP(Data_AnTuTu[[#This Row],[CPU_Name_Bridge]], Data_CPU[CPU_Clean], Data_CPU[coreCount], "")</f>
        <v>8</v>
      </c>
    </row>
    <row r="48" spans="1:10" x14ac:dyDescent="0.3">
      <c r="A48" t="s">
        <v>579</v>
      </c>
      <c r="B48" t="s">
        <v>7</v>
      </c>
      <c r="C48">
        <v>209872</v>
      </c>
      <c r="D48">
        <v>300457</v>
      </c>
      <c r="E48">
        <v>105258</v>
      </c>
      <c r="F48">
        <v>119323</v>
      </c>
      <c r="G48" s="2">
        <v>734910</v>
      </c>
      <c r="H48" t="str">
        <f>IFERROR(TRIM(LEFT(Data_AnTuTu[[#This Row],[Device]], FIND("(",Data_AnTuTu[[#This Row],[Device]])-1)), TRIM(Data_AnTuTu[[#This Row],[Device]]))</f>
        <v>iPhone 11 Pro Max</v>
      </c>
      <c r="I48" t="str">
        <f>_xlfn.XLOOKUP(Data_AnTuTu[[#This Row],[Device_Clean]], Tbl_Mapping[Device_Clean], Tbl_Mapping[True_CPU], "Tidak Ditemukan")</f>
        <v>A13 Bionic</v>
      </c>
      <c r="J48">
        <f>_xlfn.XLOOKUP(Data_AnTuTu[[#This Row],[CPU_Name_Bridge]], Data_CPU[CPU_Clean], Data_CPU[coreCount], "")</f>
        <v>6</v>
      </c>
    </row>
    <row r="49" spans="1:10" x14ac:dyDescent="0.3">
      <c r="A49" t="s">
        <v>580</v>
      </c>
      <c r="B49" t="s">
        <v>17</v>
      </c>
      <c r="C49">
        <v>184124</v>
      </c>
      <c r="D49">
        <v>268741</v>
      </c>
      <c r="E49">
        <v>137000</v>
      </c>
      <c r="F49">
        <v>143717</v>
      </c>
      <c r="G49" s="2">
        <v>733582</v>
      </c>
      <c r="H49" t="str">
        <f>IFERROR(TRIM(LEFT(Data_AnTuTu[[#This Row],[Device]], FIND("(",Data_AnTuTu[[#This Row],[Device]])-1)), TRIM(Data_AnTuTu[[#This Row],[Device]]))</f>
        <v>Galaxy S21 Ultra 5G</v>
      </c>
      <c r="I49" t="str">
        <f>_xlfn.XLOOKUP(Data_AnTuTu[[#This Row],[Device_Clean]], Tbl_Mapping[Device_Clean], Tbl_Mapping[True_CPU], "Tidak Ditemukan")</f>
        <v>Exynos 2100</v>
      </c>
      <c r="J49">
        <f>_xlfn.XLOOKUP(Data_AnTuTu[[#This Row],[CPU_Name_Bridge]], Data_CPU[CPU_Clean], Data_CPU[coreCount], "")</f>
        <v>8</v>
      </c>
    </row>
    <row r="50" spans="1:10" x14ac:dyDescent="0.3">
      <c r="A50" t="s">
        <v>581</v>
      </c>
      <c r="B50" t="s">
        <v>7</v>
      </c>
      <c r="C50">
        <v>208381</v>
      </c>
      <c r="D50">
        <v>299716</v>
      </c>
      <c r="E50">
        <v>105681</v>
      </c>
      <c r="F50">
        <v>118275</v>
      </c>
      <c r="G50" s="2">
        <v>732053</v>
      </c>
      <c r="H50" t="str">
        <f>IFERROR(TRIM(LEFT(Data_AnTuTu[[#This Row],[Device]], FIND("(",Data_AnTuTu[[#This Row],[Device]])-1)), TRIM(Data_AnTuTu[[#This Row],[Device]]))</f>
        <v>iPhone 11 Pro</v>
      </c>
      <c r="I50" t="str">
        <f>_xlfn.XLOOKUP(Data_AnTuTu[[#This Row],[Device_Clean]], Tbl_Mapping[Device_Clean], Tbl_Mapping[True_CPU], "Tidak Ditemukan")</f>
        <v>A13 Bionic</v>
      </c>
      <c r="J50">
        <f>_xlfn.XLOOKUP(Data_AnTuTu[[#This Row],[CPU_Name_Bridge]], Data_CPU[CPU_Clean], Data_CPU[coreCount], "")</f>
        <v>6</v>
      </c>
    </row>
    <row r="51" spans="1:10" x14ac:dyDescent="0.3">
      <c r="A51" t="s">
        <v>582</v>
      </c>
      <c r="B51" t="s">
        <v>537</v>
      </c>
      <c r="C51">
        <v>200205</v>
      </c>
      <c r="D51">
        <v>242459</v>
      </c>
      <c r="E51">
        <v>128606</v>
      </c>
      <c r="F51">
        <v>160319</v>
      </c>
      <c r="G51" s="2">
        <v>731589</v>
      </c>
      <c r="H51" t="str">
        <f>IFERROR(TRIM(LEFT(Data_AnTuTu[[#This Row],[Device]], FIND("(",Data_AnTuTu[[#This Row],[Device]])-1)), TRIM(Data_AnTuTu[[#This Row],[Device]]))</f>
        <v>realme GT Neo2</v>
      </c>
      <c r="I51" t="str">
        <f>_xlfn.XLOOKUP(Data_AnTuTu[[#This Row],[Device_Clean]], Tbl_Mapping[Device_Clean], Tbl_Mapping[True_CPU], "Tidak Ditemukan")</f>
        <v>Snapdragon 870</v>
      </c>
      <c r="J51">
        <f>_xlfn.XLOOKUP(Data_AnTuTu[[#This Row],[CPU_Name_Bridge]], Data_CPU[CPU_Clean], Data_CPU[coreCount], "")</f>
        <v>8</v>
      </c>
    </row>
    <row r="52" spans="1:10" x14ac:dyDescent="0.3">
      <c r="A52" t="s">
        <v>583</v>
      </c>
      <c r="B52" t="s">
        <v>557</v>
      </c>
      <c r="C52">
        <v>171183</v>
      </c>
      <c r="D52">
        <v>311634</v>
      </c>
      <c r="E52">
        <v>113077</v>
      </c>
      <c r="F52">
        <v>134124</v>
      </c>
      <c r="G52" s="2">
        <v>730017</v>
      </c>
      <c r="H52" t="str">
        <f>IFERROR(TRIM(LEFT(Data_AnTuTu[[#This Row],[Device]], FIND("(",Data_AnTuTu[[#This Row],[Device]])-1)), TRIM(Data_AnTuTu[[#This Row],[Device]]))</f>
        <v>OnePlus 9</v>
      </c>
      <c r="I52" t="str">
        <f>_xlfn.XLOOKUP(Data_AnTuTu[[#This Row],[Device_Clean]], Tbl_Mapping[Device_Clean], Tbl_Mapping[True_CPU], "Tidak Ditemukan")</f>
        <v>Snapdragon 888</v>
      </c>
      <c r="J52">
        <f>_xlfn.XLOOKUP(Data_AnTuTu[[#This Row],[CPU_Name_Bridge]], Data_CPU[CPU_Clean], Data_CPU[coreCount], "")</f>
        <v>8</v>
      </c>
    </row>
    <row r="53" spans="1:10" x14ac:dyDescent="0.3">
      <c r="A53" t="s">
        <v>584</v>
      </c>
      <c r="B53" t="s">
        <v>531</v>
      </c>
      <c r="C53">
        <v>182792</v>
      </c>
      <c r="D53">
        <v>275502</v>
      </c>
      <c r="E53">
        <v>119287</v>
      </c>
      <c r="F53">
        <v>152290</v>
      </c>
      <c r="G53" s="2">
        <v>729871</v>
      </c>
      <c r="H53" t="str">
        <f>IFERROR(TRIM(LEFT(Data_AnTuTu[[#This Row],[Device]], FIND("(",Data_AnTuTu[[#This Row],[Device]])-1)), TRIM(Data_AnTuTu[[#This Row],[Device]]))</f>
        <v>Mi 10T Pro 5G</v>
      </c>
      <c r="I53" t="str">
        <f>_xlfn.XLOOKUP(Data_AnTuTu[[#This Row],[Device_Clean]], Tbl_Mapping[Device_Clean], Tbl_Mapping[True_CPU], "Tidak Ditemukan")</f>
        <v>Snapdragon 865</v>
      </c>
      <c r="J53">
        <f>_xlfn.XLOOKUP(Data_AnTuTu[[#This Row],[CPU_Name_Bridge]], Data_CPU[CPU_Clean], Data_CPU[coreCount], "")</f>
        <v>8</v>
      </c>
    </row>
    <row r="54" spans="1:10" x14ac:dyDescent="0.3">
      <c r="A54" t="s">
        <v>585</v>
      </c>
      <c r="B54" t="s">
        <v>7</v>
      </c>
      <c r="C54">
        <v>211960</v>
      </c>
      <c r="D54">
        <v>308870</v>
      </c>
      <c r="E54">
        <v>87211</v>
      </c>
      <c r="F54">
        <v>121573</v>
      </c>
      <c r="G54" s="2">
        <v>729614</v>
      </c>
      <c r="H54" t="str">
        <f>IFERROR(TRIM(LEFT(Data_AnTuTu[[#This Row],[Device]], FIND("(",Data_AnTuTu[[#This Row],[Device]])-1)), TRIM(Data_AnTuTu[[#This Row],[Device]]))</f>
        <v>iPad 9</v>
      </c>
      <c r="I54" t="str">
        <f>_xlfn.XLOOKUP(Data_AnTuTu[[#This Row],[Device_Clean]], Tbl_Mapping[Device_Clean], Tbl_Mapping[True_CPU], "Tidak Ditemukan")</f>
        <v>A13 Bionic</v>
      </c>
      <c r="J54">
        <f>_xlfn.XLOOKUP(Data_AnTuTu[[#This Row],[CPU_Name_Bridge]], Data_CPU[CPU_Clean], Data_CPU[coreCount], "")</f>
        <v>6</v>
      </c>
    </row>
    <row r="55" spans="1:10" x14ac:dyDescent="0.3">
      <c r="A55" t="s">
        <v>586</v>
      </c>
      <c r="B55" t="s">
        <v>10</v>
      </c>
      <c r="C55">
        <v>193075</v>
      </c>
      <c r="D55">
        <v>283195</v>
      </c>
      <c r="E55">
        <v>106576</v>
      </c>
      <c r="F55">
        <v>145721</v>
      </c>
      <c r="G55" s="2">
        <v>728567</v>
      </c>
      <c r="H55" t="str">
        <f>IFERROR(TRIM(LEFT(Data_AnTuTu[[#This Row],[Device]], FIND("(",Data_AnTuTu[[#This Row],[Device]])-1)), TRIM(Data_AnTuTu[[#This Row],[Device]]))</f>
        <v>Google Pixel 6</v>
      </c>
      <c r="I55" t="str">
        <f>_xlfn.XLOOKUP(Data_AnTuTu[[#This Row],[Device_Clean]], Tbl_Mapping[Device_Clean], Tbl_Mapping[True_CPU], "Tidak Ditemukan")</f>
        <v>Google Tensor</v>
      </c>
      <c r="J55">
        <f>_xlfn.XLOOKUP(Data_AnTuTu[[#This Row],[CPU_Name_Bridge]], Data_CPU[CPU_Clean], Data_CPU[coreCount], "")</f>
        <v>8</v>
      </c>
    </row>
    <row r="56" spans="1:10" x14ac:dyDescent="0.3">
      <c r="A56" t="s">
        <v>587</v>
      </c>
      <c r="B56" t="s">
        <v>588</v>
      </c>
      <c r="C56">
        <v>185397</v>
      </c>
      <c r="D56">
        <v>278173</v>
      </c>
      <c r="E56">
        <v>131873</v>
      </c>
      <c r="F56">
        <v>131695</v>
      </c>
      <c r="G56" s="2">
        <v>727138</v>
      </c>
      <c r="H56" t="str">
        <f>IFERROR(TRIM(LEFT(Data_AnTuTu[[#This Row],[Device]], FIND("(",Data_AnTuTu[[#This Row],[Device]])-1)), TRIM(Data_AnTuTu[[#This Row],[Device]]))</f>
        <v>HUAWEI Mate 40 Pro</v>
      </c>
      <c r="I56" t="str">
        <f>_xlfn.XLOOKUP(Data_AnTuTu[[#This Row],[Device_Clean]], Tbl_Mapping[Device_Clean], Tbl_Mapping[True_CPU], "Tidak Ditemukan")</f>
        <v>Kirin 9000</v>
      </c>
      <c r="J56">
        <f>_xlfn.XLOOKUP(Data_AnTuTu[[#This Row],[CPU_Name_Bridge]], Data_CPU[CPU_Clean], Data_CPU[coreCount], "")</f>
        <v>8</v>
      </c>
    </row>
    <row r="57" spans="1:10" x14ac:dyDescent="0.3">
      <c r="A57" t="s">
        <v>589</v>
      </c>
      <c r="B57" t="s">
        <v>10</v>
      </c>
      <c r="C57">
        <v>180721</v>
      </c>
      <c r="D57">
        <v>288781</v>
      </c>
      <c r="E57">
        <v>104270</v>
      </c>
      <c r="F57">
        <v>149164</v>
      </c>
      <c r="G57" s="2">
        <v>722936</v>
      </c>
      <c r="H57" t="str">
        <f>IFERROR(TRIM(LEFT(Data_AnTuTu[[#This Row],[Device]], FIND("(",Data_AnTuTu[[#This Row],[Device]])-1)), TRIM(Data_AnTuTu[[#This Row],[Device]]))</f>
        <v>Google Pixel 6 Pro</v>
      </c>
      <c r="I57" t="str">
        <f>_xlfn.XLOOKUP(Data_AnTuTu[[#This Row],[Device_Clean]], Tbl_Mapping[Device_Clean], Tbl_Mapping[True_CPU], "Tidak Ditemukan")</f>
        <v>Google Tensor</v>
      </c>
      <c r="J57">
        <f>_xlfn.XLOOKUP(Data_AnTuTu[[#This Row],[CPU_Name_Bridge]], Data_CPU[CPU_Clean], Data_CPU[coreCount], "")</f>
        <v>8</v>
      </c>
    </row>
    <row r="58" spans="1:10" x14ac:dyDescent="0.3">
      <c r="A58" t="s">
        <v>590</v>
      </c>
      <c r="B58" t="s">
        <v>17</v>
      </c>
      <c r="C58">
        <v>186881</v>
      </c>
      <c r="D58">
        <v>275225</v>
      </c>
      <c r="E58">
        <v>121223</v>
      </c>
      <c r="F58">
        <v>135085</v>
      </c>
      <c r="G58" s="2">
        <v>718412</v>
      </c>
      <c r="H58" t="str">
        <f>IFERROR(TRIM(LEFT(Data_AnTuTu[[#This Row],[Device]], FIND("(",Data_AnTuTu[[#This Row],[Device]])-1)), TRIM(Data_AnTuTu[[#This Row],[Device]]))</f>
        <v>Galaxy S21+ 5G</v>
      </c>
      <c r="I58" t="str">
        <f>_xlfn.XLOOKUP(Data_AnTuTu[[#This Row],[Device_Clean]], Tbl_Mapping[Device_Clean], Tbl_Mapping[True_CPU], "Tidak Ditemukan")</f>
        <v>Exynos 2100</v>
      </c>
      <c r="J58">
        <f>_xlfn.XLOOKUP(Data_AnTuTu[[#This Row],[CPU_Name_Bridge]], Data_CPU[CPU_Clean], Data_CPU[coreCount], "")</f>
        <v>8</v>
      </c>
    </row>
    <row r="59" spans="1:10" x14ac:dyDescent="0.3">
      <c r="A59" t="s">
        <v>591</v>
      </c>
      <c r="B59" t="s">
        <v>534</v>
      </c>
      <c r="C59">
        <v>195101</v>
      </c>
      <c r="D59">
        <v>239360</v>
      </c>
      <c r="E59">
        <v>124589</v>
      </c>
      <c r="F59">
        <v>154763</v>
      </c>
      <c r="G59" s="2">
        <v>713813</v>
      </c>
      <c r="H59" t="str">
        <f>IFERROR(TRIM(LEFT(Data_AnTuTu[[#This Row],[Device]], FIND("(",Data_AnTuTu[[#This Row],[Device]])-1)), TRIM(Data_AnTuTu[[#This Row],[Device]]))</f>
        <v>Motorola Edge 20 Pro</v>
      </c>
      <c r="I59" t="str">
        <f>_xlfn.XLOOKUP(Data_AnTuTu[[#This Row],[Device_Clean]], Tbl_Mapping[Device_Clean], Tbl_Mapping[True_CPU], "Tidak Ditemukan")</f>
        <v>Snapdragon 870</v>
      </c>
      <c r="J59">
        <f>_xlfn.XLOOKUP(Data_AnTuTu[[#This Row],[CPU_Name_Bridge]], Data_CPU[CPU_Clean], Data_CPU[coreCount], "")</f>
        <v>8</v>
      </c>
    </row>
    <row r="60" spans="1:10" x14ac:dyDescent="0.3">
      <c r="A60" t="s">
        <v>592</v>
      </c>
      <c r="B60" t="s">
        <v>531</v>
      </c>
      <c r="C60">
        <v>191922</v>
      </c>
      <c r="D60">
        <v>246503</v>
      </c>
      <c r="E60">
        <v>118945</v>
      </c>
      <c r="F60">
        <v>150484</v>
      </c>
      <c r="G60" s="2">
        <v>707854</v>
      </c>
      <c r="H60" t="str">
        <f>IFERROR(TRIM(LEFT(Data_AnTuTu[[#This Row],[Device]], FIND("(",Data_AnTuTu[[#This Row],[Device]])-1)), TRIM(Data_AnTuTu[[#This Row],[Device]]))</f>
        <v>Redmi K40</v>
      </c>
      <c r="I60" t="str">
        <f>_xlfn.XLOOKUP(Data_AnTuTu[[#This Row],[Device_Clean]], Tbl_Mapping[Device_Clean], Tbl_Mapping[True_CPU], "Tidak Ditemukan")</f>
        <v>Snapdragon 870</v>
      </c>
      <c r="J60">
        <f>_xlfn.XLOOKUP(Data_AnTuTu[[#This Row],[CPU_Name_Bridge]], Data_CPU[CPU_Clean], Data_CPU[coreCount], "")</f>
        <v>8</v>
      </c>
    </row>
    <row r="61" spans="1:10" x14ac:dyDescent="0.3">
      <c r="A61" t="s">
        <v>593</v>
      </c>
      <c r="B61" t="s">
        <v>594</v>
      </c>
      <c r="C61">
        <v>189415</v>
      </c>
      <c r="D61">
        <v>245712</v>
      </c>
      <c r="E61">
        <v>117836</v>
      </c>
      <c r="F61">
        <v>153645</v>
      </c>
      <c r="G61" s="2">
        <v>706606</v>
      </c>
      <c r="H61" t="str">
        <f>IFERROR(TRIM(LEFT(Data_AnTuTu[[#This Row],[Device]], FIND("(",Data_AnTuTu[[#This Row],[Device]])-1)), TRIM(Data_AnTuTu[[#This Row],[Device]]))</f>
        <v>Black Shark 4</v>
      </c>
      <c r="I61" t="str">
        <f>_xlfn.XLOOKUP(Data_AnTuTu[[#This Row],[Device_Clean]], Tbl_Mapping[Device_Clean], Tbl_Mapping[True_CPU], "Tidak Ditemukan")</f>
        <v>Snapdragon 870</v>
      </c>
      <c r="J61">
        <f>_xlfn.XLOOKUP(Data_AnTuTu[[#This Row],[CPU_Name_Bridge]], Data_CPU[CPU_Clean], Data_CPU[coreCount], "")</f>
        <v>8</v>
      </c>
    </row>
    <row r="62" spans="1:10" x14ac:dyDescent="0.3">
      <c r="A62" t="s">
        <v>595</v>
      </c>
      <c r="B62" t="s">
        <v>531</v>
      </c>
      <c r="C62">
        <v>191836</v>
      </c>
      <c r="D62">
        <v>250934</v>
      </c>
      <c r="E62">
        <v>112030</v>
      </c>
      <c r="F62">
        <v>150136</v>
      </c>
      <c r="G62" s="2">
        <v>704933</v>
      </c>
      <c r="H62" t="str">
        <f>IFERROR(TRIM(LEFT(Data_AnTuTu[[#This Row],[Device]], FIND("(",Data_AnTuTu[[#This Row],[Device]])-1)), TRIM(Data_AnTuTu[[#This Row],[Device]]))</f>
        <v>Mi 11X</v>
      </c>
      <c r="I62" t="str">
        <f>_xlfn.XLOOKUP(Data_AnTuTu[[#This Row],[Device_Clean]], Tbl_Mapping[Device_Clean], Tbl_Mapping[True_CPU], "Tidak Ditemukan")</f>
        <v>Snapdragon 870</v>
      </c>
      <c r="J62">
        <f>_xlfn.XLOOKUP(Data_AnTuTu[[#This Row],[CPU_Name_Bridge]], Data_CPU[CPU_Clean], Data_CPU[coreCount], "")</f>
        <v>8</v>
      </c>
    </row>
    <row r="63" spans="1:10" x14ac:dyDescent="0.3">
      <c r="A63" t="s">
        <v>596</v>
      </c>
      <c r="B63" t="s">
        <v>531</v>
      </c>
      <c r="C63">
        <v>191633</v>
      </c>
      <c r="D63">
        <v>244999</v>
      </c>
      <c r="E63">
        <v>117820</v>
      </c>
      <c r="F63">
        <v>150182</v>
      </c>
      <c r="G63" s="2">
        <v>704634</v>
      </c>
      <c r="H63" t="str">
        <f>IFERROR(TRIM(LEFT(Data_AnTuTu[[#This Row],[Device]], FIND("(",Data_AnTuTu[[#This Row],[Device]])-1)), TRIM(Data_AnTuTu[[#This Row],[Device]]))</f>
        <v>Poco F3</v>
      </c>
      <c r="I63" t="str">
        <f>_xlfn.XLOOKUP(Data_AnTuTu[[#This Row],[Device_Clean]], Tbl_Mapping[Device_Clean], Tbl_Mapping[True_CPU], "Tidak Ditemukan")</f>
        <v>Snapdragon 870</v>
      </c>
      <c r="J63">
        <f>_xlfn.XLOOKUP(Data_AnTuTu[[#This Row],[CPU_Name_Bridge]], Data_CPU[CPU_Clean], Data_CPU[coreCount], "")</f>
        <v>8</v>
      </c>
    </row>
    <row r="64" spans="1:10" x14ac:dyDescent="0.3">
      <c r="A64" t="s">
        <v>597</v>
      </c>
      <c r="B64" t="s">
        <v>7</v>
      </c>
      <c r="C64">
        <v>198064</v>
      </c>
      <c r="D64">
        <v>290948</v>
      </c>
      <c r="E64">
        <v>93139</v>
      </c>
      <c r="F64">
        <v>116765</v>
      </c>
      <c r="G64" s="2">
        <v>698916</v>
      </c>
      <c r="H64" t="str">
        <f>IFERROR(TRIM(LEFT(Data_AnTuTu[[#This Row],[Device]], FIND("(",Data_AnTuTu[[#This Row],[Device]])-1)), TRIM(Data_AnTuTu[[#This Row],[Device]]))</f>
        <v>iPhone 11</v>
      </c>
      <c r="I64" t="str">
        <f>_xlfn.XLOOKUP(Data_AnTuTu[[#This Row],[Device_Clean]], Tbl_Mapping[Device_Clean], Tbl_Mapping[True_CPU], "Tidak Ditemukan")</f>
        <v>A13 Bionic</v>
      </c>
      <c r="J64">
        <f>_xlfn.XLOOKUP(Data_AnTuTu[[#This Row],[CPU_Name_Bridge]], Data_CPU[CPU_Clean], Data_CPU[coreCount], "")</f>
        <v>6</v>
      </c>
    </row>
    <row r="65" spans="1:10" x14ac:dyDescent="0.3">
      <c r="A65" t="s">
        <v>598</v>
      </c>
      <c r="B65" t="s">
        <v>557</v>
      </c>
      <c r="C65">
        <v>190523</v>
      </c>
      <c r="D65">
        <v>241222</v>
      </c>
      <c r="E65">
        <v>116347</v>
      </c>
      <c r="F65">
        <v>145862</v>
      </c>
      <c r="G65" s="2">
        <v>693954</v>
      </c>
      <c r="H65" t="str">
        <f>IFERROR(TRIM(LEFT(Data_AnTuTu[[#This Row],[Device]], FIND("(",Data_AnTuTu[[#This Row],[Device]])-1)), TRIM(Data_AnTuTu[[#This Row],[Device]]))</f>
        <v>OnePlus 9R</v>
      </c>
      <c r="I65" t="str">
        <f>_xlfn.XLOOKUP(Data_AnTuTu[[#This Row],[Device_Clean]], Tbl_Mapping[Device_Clean], Tbl_Mapping[True_CPU], "Tidak Ditemukan")</f>
        <v>Snapdragon 870</v>
      </c>
      <c r="J65">
        <f>_xlfn.XLOOKUP(Data_AnTuTu[[#This Row],[CPU_Name_Bridge]], Data_CPU[CPU_Clean], Data_CPU[coreCount], "")</f>
        <v>8</v>
      </c>
    </row>
    <row r="66" spans="1:10" x14ac:dyDescent="0.3">
      <c r="A66" t="s">
        <v>599</v>
      </c>
      <c r="B66" t="s">
        <v>537</v>
      </c>
      <c r="C66">
        <v>175098</v>
      </c>
      <c r="D66">
        <v>244308</v>
      </c>
      <c r="E66">
        <v>132911</v>
      </c>
      <c r="F66">
        <v>140180</v>
      </c>
      <c r="G66" s="2">
        <v>692497</v>
      </c>
      <c r="H66" t="str">
        <f>IFERROR(TRIM(LEFT(Data_AnTuTu[[#This Row],[Device]], FIND("(",Data_AnTuTu[[#This Row],[Device]])-1)), TRIM(Data_AnTuTu[[#This Row],[Device]]))</f>
        <v>realme GT Neo</v>
      </c>
      <c r="I66" t="str">
        <f>_xlfn.XLOOKUP(Data_AnTuTu[[#This Row],[Device_Clean]], Tbl_Mapping[Device_Clean], Tbl_Mapping[True_CPU], "Tidak Ditemukan")</f>
        <v>Dimensity 1200</v>
      </c>
      <c r="J66">
        <f>_xlfn.XLOOKUP(Data_AnTuTu[[#This Row],[CPU_Name_Bridge]], Data_CPU[CPU_Clean], Data_CPU[coreCount], "")</f>
        <v>8</v>
      </c>
    </row>
    <row r="67" spans="1:10" x14ac:dyDescent="0.3">
      <c r="A67" t="s">
        <v>600</v>
      </c>
      <c r="B67" t="s">
        <v>554</v>
      </c>
      <c r="C67">
        <v>190232</v>
      </c>
      <c r="D67">
        <v>225890</v>
      </c>
      <c r="E67">
        <v>128057</v>
      </c>
      <c r="F67">
        <v>148244</v>
      </c>
      <c r="G67" s="2">
        <v>692423</v>
      </c>
      <c r="H67" t="str">
        <f>IFERROR(TRIM(LEFT(Data_AnTuTu[[#This Row],[Device]], FIND("(",Data_AnTuTu[[#This Row],[Device]])-1)), TRIM(Data_AnTuTu[[#This Row],[Device]]))</f>
        <v>OPPO Find X2 Pro</v>
      </c>
      <c r="I67" t="str">
        <f>_xlfn.XLOOKUP(Data_AnTuTu[[#This Row],[Device_Clean]], Tbl_Mapping[Device_Clean], Tbl_Mapping[True_CPU], "Tidak Ditemukan")</f>
        <v>Snapdragon 865</v>
      </c>
      <c r="J67">
        <f>_xlfn.XLOOKUP(Data_AnTuTu[[#This Row],[CPU_Name_Bridge]], Data_CPU[CPU_Clean], Data_CPU[coreCount], "")</f>
        <v>8</v>
      </c>
    </row>
    <row r="68" spans="1:10" x14ac:dyDescent="0.3">
      <c r="A68" t="s">
        <v>601</v>
      </c>
      <c r="B68" t="s">
        <v>531</v>
      </c>
      <c r="C68">
        <v>172962</v>
      </c>
      <c r="D68">
        <v>245151</v>
      </c>
      <c r="E68">
        <v>128613</v>
      </c>
      <c r="F68">
        <v>142691</v>
      </c>
      <c r="G68" s="2">
        <v>689417</v>
      </c>
      <c r="H68" t="str">
        <f>IFERROR(TRIM(LEFT(Data_AnTuTu[[#This Row],[Device]], FIND("(",Data_AnTuTu[[#This Row],[Device]])-1)), TRIM(Data_AnTuTu[[#This Row],[Device]]))</f>
        <v>Redmi K40 Gaming</v>
      </c>
      <c r="I68" t="str">
        <f>_xlfn.XLOOKUP(Data_AnTuTu[[#This Row],[Device_Clean]], Tbl_Mapping[Device_Clean], Tbl_Mapping[True_CPU], "Tidak Ditemukan")</f>
        <v>Dimensity 1200</v>
      </c>
      <c r="J68">
        <f>_xlfn.XLOOKUP(Data_AnTuTu[[#This Row],[CPU_Name_Bridge]], Data_CPU[CPU_Clean], Data_CPU[coreCount], "")</f>
        <v>8</v>
      </c>
    </row>
    <row r="69" spans="1:10" x14ac:dyDescent="0.3">
      <c r="A69" t="s">
        <v>602</v>
      </c>
      <c r="B69" t="s">
        <v>557</v>
      </c>
      <c r="C69">
        <v>191224</v>
      </c>
      <c r="D69">
        <v>226427</v>
      </c>
      <c r="E69">
        <v>125038</v>
      </c>
      <c r="F69">
        <v>144954</v>
      </c>
      <c r="G69" s="2">
        <v>687642</v>
      </c>
      <c r="H69" t="str">
        <f>IFERROR(TRIM(LEFT(Data_AnTuTu[[#This Row],[Device]], FIND("(",Data_AnTuTu[[#This Row],[Device]])-1)), TRIM(Data_AnTuTu[[#This Row],[Device]]))</f>
        <v>OnePlus 8T</v>
      </c>
      <c r="I69" t="str">
        <f>_xlfn.XLOOKUP(Data_AnTuTu[[#This Row],[Device_Clean]], Tbl_Mapping[Device_Clean], Tbl_Mapping[True_CPU], "Tidak Ditemukan")</f>
        <v>Snapdragon 865</v>
      </c>
      <c r="J69">
        <f>_xlfn.XLOOKUP(Data_AnTuTu[[#This Row],[CPU_Name_Bridge]], Data_CPU[CPU_Clean], Data_CPU[coreCount], "")</f>
        <v>8</v>
      </c>
    </row>
    <row r="70" spans="1:10" x14ac:dyDescent="0.3">
      <c r="A70" t="s">
        <v>603</v>
      </c>
      <c r="B70" t="s">
        <v>531</v>
      </c>
      <c r="C70">
        <v>183426</v>
      </c>
      <c r="D70">
        <v>244165</v>
      </c>
      <c r="E70">
        <v>110754</v>
      </c>
      <c r="F70">
        <v>144418</v>
      </c>
      <c r="G70" s="2">
        <v>682763</v>
      </c>
      <c r="H70" t="str">
        <f>IFERROR(TRIM(LEFT(Data_AnTuTu[[#This Row],[Device]], FIND("(",Data_AnTuTu[[#This Row],[Device]])-1)), TRIM(Data_AnTuTu[[#This Row],[Device]]))</f>
        <v>Mi 12X</v>
      </c>
      <c r="I70" t="str">
        <f>_xlfn.XLOOKUP(Data_AnTuTu[[#This Row],[Device_Clean]], Tbl_Mapping[Device_Clean], Tbl_Mapping[True_CPU], "Tidak Ditemukan")</f>
        <v>Snapdragon 870</v>
      </c>
      <c r="J70">
        <f>_xlfn.XLOOKUP(Data_AnTuTu[[#This Row],[CPU_Name_Bridge]], Data_CPU[CPU_Clean], Data_CPU[coreCount], "")</f>
        <v>8</v>
      </c>
    </row>
    <row r="71" spans="1:10" x14ac:dyDescent="0.3">
      <c r="A71" t="s">
        <v>604</v>
      </c>
      <c r="B71" t="s">
        <v>17</v>
      </c>
      <c r="C71">
        <v>175469</v>
      </c>
      <c r="D71">
        <v>252146</v>
      </c>
      <c r="E71">
        <v>119504</v>
      </c>
      <c r="F71">
        <v>121290</v>
      </c>
      <c r="G71" s="2">
        <v>668409</v>
      </c>
      <c r="H71" t="str">
        <f>IFERROR(TRIM(LEFT(Data_AnTuTu[[#This Row],[Device]], FIND("(",Data_AnTuTu[[#This Row],[Device]])-1)), TRIM(Data_AnTuTu[[#This Row],[Device]]))</f>
        <v>Galaxy S21 5G</v>
      </c>
      <c r="I71" t="str">
        <f>_xlfn.XLOOKUP(Data_AnTuTu[[#This Row],[Device_Clean]], Tbl_Mapping[Device_Clean], Tbl_Mapping[True_CPU], "Tidak Ditemukan")</f>
        <v>Snapdragon 888</v>
      </c>
      <c r="J71">
        <f>_xlfn.XLOOKUP(Data_AnTuTu[[#This Row],[CPU_Name_Bridge]], Data_CPU[CPU_Clean], Data_CPU[coreCount], "")</f>
        <v>8</v>
      </c>
    </row>
    <row r="72" spans="1:10" x14ac:dyDescent="0.3">
      <c r="A72" t="s">
        <v>605</v>
      </c>
      <c r="B72" t="s">
        <v>531</v>
      </c>
      <c r="C72">
        <v>188879</v>
      </c>
      <c r="D72">
        <v>224774</v>
      </c>
      <c r="E72">
        <v>116327</v>
      </c>
      <c r="F72">
        <v>132373</v>
      </c>
      <c r="G72" s="2">
        <v>662353</v>
      </c>
      <c r="H72" t="str">
        <f>IFERROR(TRIM(LEFT(Data_AnTuTu[[#This Row],[Device]], FIND("(",Data_AnTuTu[[#This Row],[Device]])-1)), TRIM(Data_AnTuTu[[#This Row],[Device]]))</f>
        <v>Poco F2 Pro</v>
      </c>
      <c r="I72" t="str">
        <f>_xlfn.XLOOKUP(Data_AnTuTu[[#This Row],[Device_Clean]], Tbl_Mapping[Device_Clean], Tbl_Mapping[True_CPU], "Tidak Ditemukan")</f>
        <v>Snapdragon 865</v>
      </c>
      <c r="J72">
        <f>_xlfn.XLOOKUP(Data_AnTuTu[[#This Row],[CPU_Name_Bridge]], Data_CPU[CPU_Clean], Data_CPU[coreCount], "")</f>
        <v>8</v>
      </c>
    </row>
    <row r="73" spans="1:10" x14ac:dyDescent="0.3">
      <c r="A73" t="s">
        <v>606</v>
      </c>
      <c r="B73" t="s">
        <v>588</v>
      </c>
      <c r="C73">
        <v>153264</v>
      </c>
      <c r="D73">
        <v>280425</v>
      </c>
      <c r="E73">
        <v>114605</v>
      </c>
      <c r="F73">
        <v>112997</v>
      </c>
      <c r="G73" s="2">
        <v>661290</v>
      </c>
      <c r="H73" t="str">
        <f>IFERROR(TRIM(LEFT(Data_AnTuTu[[#This Row],[Device]], FIND("(",Data_AnTuTu[[#This Row],[Device]])-1)), TRIM(Data_AnTuTu[[#This Row],[Device]]))</f>
        <v>HUAWEI P50 Pro</v>
      </c>
      <c r="I73" t="str">
        <f>_xlfn.XLOOKUP(Data_AnTuTu[[#This Row],[Device_Clean]], Tbl_Mapping[Device_Clean], Tbl_Mapping[True_CPU], "Tidak Ditemukan")</f>
        <v>Snapdragon 888</v>
      </c>
      <c r="J73">
        <f>_xlfn.XLOOKUP(Data_AnTuTu[[#This Row],[CPU_Name_Bridge]], Data_CPU[CPU_Clean], Data_CPU[coreCount], "")</f>
        <v>8</v>
      </c>
    </row>
    <row r="74" spans="1:10" x14ac:dyDescent="0.3">
      <c r="A74" t="s">
        <v>607</v>
      </c>
      <c r="B74" t="s">
        <v>531</v>
      </c>
      <c r="C74">
        <v>186019</v>
      </c>
      <c r="D74">
        <v>229019</v>
      </c>
      <c r="E74">
        <v>109255</v>
      </c>
      <c r="F74">
        <v>134448</v>
      </c>
      <c r="G74" s="2">
        <v>658741</v>
      </c>
      <c r="H74" t="str">
        <f>IFERROR(TRIM(LEFT(Data_AnTuTu[[#This Row],[Device]], FIND("(",Data_AnTuTu[[#This Row],[Device]])-1)), TRIM(Data_AnTuTu[[#This Row],[Device]]))</f>
        <v>Mi 10</v>
      </c>
      <c r="I74" t="str">
        <f>_xlfn.XLOOKUP(Data_AnTuTu[[#This Row],[Device_Clean]], Tbl_Mapping[Device_Clean], Tbl_Mapping[True_CPU], "Tidak Ditemukan")</f>
        <v>Snapdragon 865</v>
      </c>
      <c r="J74">
        <f>_xlfn.XLOOKUP(Data_AnTuTu[[#This Row],[CPU_Name_Bridge]], Data_CPU[CPU_Clean], Data_CPU[coreCount], "")</f>
        <v>8</v>
      </c>
    </row>
    <row r="75" spans="1:10" x14ac:dyDescent="0.3">
      <c r="A75" t="s">
        <v>608</v>
      </c>
      <c r="B75" t="s">
        <v>7</v>
      </c>
      <c r="C75">
        <v>190628</v>
      </c>
      <c r="D75">
        <v>270667</v>
      </c>
      <c r="E75">
        <v>82343</v>
      </c>
      <c r="F75">
        <v>114439</v>
      </c>
      <c r="G75" s="2">
        <v>658077</v>
      </c>
      <c r="H75" t="str">
        <f>IFERROR(TRIM(LEFT(Data_AnTuTu[[#This Row],[Device]], FIND("(",Data_AnTuTu[[#This Row],[Device]])-1)), TRIM(Data_AnTuTu[[#This Row],[Device]]))</f>
        <v>iPad Air 3</v>
      </c>
      <c r="I75" t="str">
        <f>_xlfn.XLOOKUP(Data_AnTuTu[[#This Row],[Device_Clean]], Tbl_Mapping[Device_Clean], Tbl_Mapping[True_CPU], "Tidak Ditemukan")</f>
        <v>A12 Bionic</v>
      </c>
      <c r="J75">
        <f>_xlfn.XLOOKUP(Data_AnTuTu[[#This Row],[CPU_Name_Bridge]], Data_CPU[CPU_Clean], Data_CPU[coreCount], "")</f>
        <v>6</v>
      </c>
    </row>
    <row r="76" spans="1:10" x14ac:dyDescent="0.3">
      <c r="A76" t="s">
        <v>609</v>
      </c>
      <c r="B76" t="s">
        <v>7</v>
      </c>
      <c r="C76">
        <v>199947</v>
      </c>
      <c r="D76">
        <v>259312</v>
      </c>
      <c r="E76">
        <v>84029</v>
      </c>
      <c r="F76">
        <v>113826</v>
      </c>
      <c r="G76" s="2">
        <v>657114</v>
      </c>
      <c r="H76" t="str">
        <f>IFERROR(TRIM(LEFT(Data_AnTuTu[[#This Row],[Device]], FIND("(",Data_AnTuTu[[#This Row],[Device]])-1)), TRIM(Data_AnTuTu[[#This Row],[Device]]))</f>
        <v>iPhone SE2</v>
      </c>
      <c r="I76" t="str">
        <f>_xlfn.XLOOKUP(Data_AnTuTu[[#This Row],[Device_Clean]], Tbl_Mapping[Device_Clean], Tbl_Mapping[True_CPU], "Tidak Ditemukan")</f>
        <v>A13 Bionic</v>
      </c>
      <c r="J76">
        <f>_xlfn.XLOOKUP(Data_AnTuTu[[#This Row],[CPU_Name_Bridge]], Data_CPU[CPU_Clean], Data_CPU[coreCount], "")</f>
        <v>6</v>
      </c>
    </row>
    <row r="77" spans="1:10" x14ac:dyDescent="0.3">
      <c r="A77" t="s">
        <v>610</v>
      </c>
      <c r="B77" t="s">
        <v>537</v>
      </c>
      <c r="C77">
        <v>167466</v>
      </c>
      <c r="D77">
        <v>235188</v>
      </c>
      <c r="E77">
        <v>119604</v>
      </c>
      <c r="F77">
        <v>134198</v>
      </c>
      <c r="G77" s="2">
        <v>656456</v>
      </c>
      <c r="H77" t="str">
        <f>IFERROR(TRIM(LEFT(Data_AnTuTu[[#This Row],[Device]], FIND("(",Data_AnTuTu[[#This Row],[Device]])-1)), TRIM(Data_AnTuTu[[#This Row],[Device]]))</f>
        <v>realme Q3 Pro</v>
      </c>
      <c r="I77" t="str">
        <f>_xlfn.XLOOKUP(Data_AnTuTu[[#This Row],[Device_Clean]], Tbl_Mapping[Device_Clean], Tbl_Mapping[True_CPU], "Tidak Ditemukan")</f>
        <v>Dimensity 1100</v>
      </c>
      <c r="J77">
        <f>_xlfn.XLOOKUP(Data_AnTuTu[[#This Row],[CPU_Name_Bridge]], Data_CPU[CPU_Clean], Data_CPU[coreCount], "")</f>
        <v>8</v>
      </c>
    </row>
    <row r="78" spans="1:10" x14ac:dyDescent="0.3">
      <c r="A78" t="s">
        <v>611</v>
      </c>
      <c r="B78" t="s">
        <v>17</v>
      </c>
      <c r="C78">
        <v>183906</v>
      </c>
      <c r="D78">
        <v>222865</v>
      </c>
      <c r="E78">
        <v>109624</v>
      </c>
      <c r="F78">
        <v>139800</v>
      </c>
      <c r="G78" s="2">
        <v>656195</v>
      </c>
      <c r="H78" t="str">
        <f>IFERROR(TRIM(LEFT(Data_AnTuTu[[#This Row],[Device]], FIND("(",Data_AnTuTu[[#This Row],[Device]])-1)), TRIM(Data_AnTuTu[[#This Row],[Device]]))</f>
        <v>Galaxy S20 FE 5G</v>
      </c>
      <c r="I78" t="str">
        <f>_xlfn.XLOOKUP(Data_AnTuTu[[#This Row],[Device_Clean]], Tbl_Mapping[Device_Clean], Tbl_Mapping[True_CPU], "Tidak Ditemukan")</f>
        <v>Snapdragon 865</v>
      </c>
      <c r="J78">
        <f>_xlfn.XLOOKUP(Data_AnTuTu[[#This Row],[CPU_Name_Bridge]], Data_CPU[CPU_Clean], Data_CPU[coreCount], "")</f>
        <v>8</v>
      </c>
    </row>
    <row r="79" spans="1:10" x14ac:dyDescent="0.3">
      <c r="A79" t="s">
        <v>612</v>
      </c>
      <c r="B79" t="s">
        <v>17</v>
      </c>
      <c r="C79">
        <v>182485</v>
      </c>
      <c r="D79">
        <v>218608</v>
      </c>
      <c r="E79">
        <v>114856</v>
      </c>
      <c r="F79">
        <v>138258</v>
      </c>
      <c r="G79" s="2">
        <v>654207</v>
      </c>
      <c r="H79" t="str">
        <f>IFERROR(TRIM(LEFT(Data_AnTuTu[[#This Row],[Device]], FIND("(",Data_AnTuTu[[#This Row],[Device]])-1)), TRIM(Data_AnTuTu[[#This Row],[Device]]))</f>
        <v>Galaxy S20 FE 4G</v>
      </c>
      <c r="I79" t="str">
        <f>_xlfn.XLOOKUP(Data_AnTuTu[[#This Row],[Device_Clean]], Tbl_Mapping[Device_Clean], Tbl_Mapping[True_CPU], "Tidak Ditemukan")</f>
        <v>Snapdragon 865</v>
      </c>
      <c r="J79">
        <f>_xlfn.XLOOKUP(Data_AnTuTu[[#This Row],[CPU_Name_Bridge]], Data_CPU[CPU_Clean], Data_CPU[coreCount], "")</f>
        <v>8</v>
      </c>
    </row>
    <row r="80" spans="1:10" x14ac:dyDescent="0.3">
      <c r="A80" t="s">
        <v>613</v>
      </c>
      <c r="B80" t="s">
        <v>17</v>
      </c>
      <c r="C80">
        <v>165476</v>
      </c>
      <c r="D80">
        <v>229672</v>
      </c>
      <c r="E80">
        <v>121863</v>
      </c>
      <c r="F80">
        <v>122961</v>
      </c>
      <c r="G80" s="2">
        <v>639971</v>
      </c>
      <c r="H80" t="str">
        <f>IFERROR(TRIM(LEFT(Data_AnTuTu[[#This Row],[Device]], FIND("(",Data_AnTuTu[[#This Row],[Device]])-1)), TRIM(Data_AnTuTu[[#This Row],[Device]]))</f>
        <v>Galaxy Note20 Ultra 5G</v>
      </c>
      <c r="I80" t="str">
        <f>_xlfn.XLOOKUP(Data_AnTuTu[[#This Row],[Device_Clean]], Tbl_Mapping[Device_Clean], Tbl_Mapping[True_CPU], "Tidak Ditemukan")</f>
        <v>Exynos 990</v>
      </c>
      <c r="J80">
        <f>_xlfn.XLOOKUP(Data_AnTuTu[[#This Row],[CPU_Name_Bridge]], Data_CPU[CPU_Clean], Data_CPU[coreCount], "")</f>
        <v>8</v>
      </c>
    </row>
    <row r="81" spans="1:10" x14ac:dyDescent="0.3">
      <c r="A81" t="s">
        <v>614</v>
      </c>
      <c r="B81" t="s">
        <v>531</v>
      </c>
      <c r="C81">
        <v>153660</v>
      </c>
      <c r="D81">
        <v>239628</v>
      </c>
      <c r="E81">
        <v>115503</v>
      </c>
      <c r="F81">
        <v>130869</v>
      </c>
      <c r="G81" s="2">
        <v>639660</v>
      </c>
      <c r="H81" t="str">
        <f>IFERROR(TRIM(LEFT(Data_AnTuTu[[#This Row],[Device]], FIND("(",Data_AnTuTu[[#This Row],[Device]])-1)), TRIM(Data_AnTuTu[[#This Row],[Device]]))</f>
        <v>Mi 11T 5G</v>
      </c>
      <c r="I81" t="str">
        <f>_xlfn.XLOOKUP(Data_AnTuTu[[#This Row],[Device_Clean]], Tbl_Mapping[Device_Clean], Tbl_Mapping[True_CPU], "Tidak Ditemukan")</f>
        <v>Dimensity 1200</v>
      </c>
      <c r="J81">
        <f>_xlfn.XLOOKUP(Data_AnTuTu[[#This Row],[CPU_Name_Bridge]], Data_CPU[CPU_Clean], Data_CPU[coreCount], "")</f>
        <v>8</v>
      </c>
    </row>
    <row r="82" spans="1:10" x14ac:dyDescent="0.3">
      <c r="A82" t="s">
        <v>615</v>
      </c>
      <c r="B82" t="s">
        <v>17</v>
      </c>
      <c r="C82">
        <v>166832</v>
      </c>
      <c r="D82">
        <v>231391</v>
      </c>
      <c r="E82">
        <v>115018</v>
      </c>
      <c r="F82">
        <v>124816</v>
      </c>
      <c r="G82" s="2">
        <v>638057</v>
      </c>
      <c r="H82" t="str">
        <f>IFERROR(TRIM(LEFT(Data_AnTuTu[[#This Row],[Device]], FIND("(",Data_AnTuTu[[#This Row],[Device]])-1)), TRIM(Data_AnTuTu[[#This Row],[Device]]))</f>
        <v>Galaxy S20 Ultra 5G</v>
      </c>
      <c r="I82" t="str">
        <f>_xlfn.XLOOKUP(Data_AnTuTu[[#This Row],[Device_Clean]], Tbl_Mapping[Device_Clean], Tbl_Mapping[True_CPU], "Tidak Ditemukan")</f>
        <v>Exynos 990</v>
      </c>
      <c r="J82">
        <f>_xlfn.XLOOKUP(Data_AnTuTu[[#This Row],[CPU_Name_Bridge]], Data_CPU[CPU_Clean], Data_CPU[coreCount], "")</f>
        <v>8</v>
      </c>
    </row>
    <row r="83" spans="1:10" x14ac:dyDescent="0.3">
      <c r="A83" t="s">
        <v>616</v>
      </c>
      <c r="B83" t="s">
        <v>531</v>
      </c>
      <c r="C83">
        <v>154123</v>
      </c>
      <c r="D83">
        <v>231943</v>
      </c>
      <c r="E83">
        <v>119086</v>
      </c>
      <c r="F83">
        <v>128074</v>
      </c>
      <c r="G83" s="2">
        <v>633226</v>
      </c>
      <c r="H83" t="str">
        <f>IFERROR(TRIM(LEFT(Data_AnTuTu[[#This Row],[Device]], FIND("(",Data_AnTuTu[[#This Row],[Device]])-1)), TRIM(Data_AnTuTu[[#This Row],[Device]]))</f>
        <v>Poco X3 GT</v>
      </c>
      <c r="I83" t="str">
        <f>_xlfn.XLOOKUP(Data_AnTuTu[[#This Row],[Device_Clean]], Tbl_Mapping[Device_Clean], Tbl_Mapping[True_CPU], "Tidak Ditemukan")</f>
        <v>Dimensity 1100</v>
      </c>
      <c r="J83">
        <f>_xlfn.XLOOKUP(Data_AnTuTu[[#This Row],[CPU_Name_Bridge]], Data_CPU[CPU_Clean], Data_CPU[coreCount], "")</f>
        <v>8</v>
      </c>
    </row>
    <row r="84" spans="1:10" x14ac:dyDescent="0.3">
      <c r="A84" t="s">
        <v>617</v>
      </c>
      <c r="B84" t="s">
        <v>557</v>
      </c>
      <c r="C84">
        <v>170519</v>
      </c>
      <c r="D84">
        <v>224076</v>
      </c>
      <c r="E84">
        <v>111476</v>
      </c>
      <c r="F84">
        <v>126216</v>
      </c>
      <c r="G84" s="2">
        <v>632287</v>
      </c>
      <c r="H84" t="str">
        <f>IFERROR(TRIM(LEFT(Data_AnTuTu[[#This Row],[Device]], FIND("(",Data_AnTuTu[[#This Row],[Device]])-1)), TRIM(Data_AnTuTu[[#This Row],[Device]]))</f>
        <v>OnePlus Nord 2 5G</v>
      </c>
      <c r="I84" t="str">
        <f>_xlfn.XLOOKUP(Data_AnTuTu[[#This Row],[Device_Clean]], Tbl_Mapping[Device_Clean], Tbl_Mapping[True_CPU], "Tidak Ditemukan")</f>
        <v>Dimensity 1200</v>
      </c>
      <c r="J84">
        <f>_xlfn.XLOOKUP(Data_AnTuTu[[#This Row],[CPU_Name_Bridge]], Data_CPU[CPU_Clean], Data_CPU[coreCount], "")</f>
        <v>8</v>
      </c>
    </row>
    <row r="85" spans="1:10" x14ac:dyDescent="0.3">
      <c r="A85" t="s">
        <v>618</v>
      </c>
      <c r="B85" t="s">
        <v>7</v>
      </c>
      <c r="C85">
        <v>186841</v>
      </c>
      <c r="D85">
        <v>248090</v>
      </c>
      <c r="E85">
        <v>81681</v>
      </c>
      <c r="F85">
        <v>113284</v>
      </c>
      <c r="G85" s="2">
        <v>629896</v>
      </c>
      <c r="H85" t="str">
        <f>IFERROR(TRIM(LEFT(Data_AnTuTu[[#This Row],[Device]], FIND("(",Data_AnTuTu[[#This Row],[Device]])-1)), TRIM(Data_AnTuTu[[#This Row],[Device]]))</f>
        <v>iPad mini 5</v>
      </c>
      <c r="I85" t="str">
        <f>_xlfn.XLOOKUP(Data_AnTuTu[[#This Row],[Device_Clean]], Tbl_Mapping[Device_Clean], Tbl_Mapping[True_CPU], "Tidak Ditemukan")</f>
        <v>A12 Bionic</v>
      </c>
      <c r="J85">
        <f>_xlfn.XLOOKUP(Data_AnTuTu[[#This Row],[CPU_Name_Bridge]], Data_CPU[CPU_Clean], Data_CPU[coreCount], "")</f>
        <v>6</v>
      </c>
    </row>
    <row r="86" spans="1:10" x14ac:dyDescent="0.3">
      <c r="A86" t="s">
        <v>619</v>
      </c>
      <c r="B86" t="s">
        <v>7</v>
      </c>
      <c r="C86">
        <v>181263</v>
      </c>
      <c r="D86">
        <v>235564</v>
      </c>
      <c r="E86">
        <v>90717</v>
      </c>
      <c r="F86">
        <v>113948</v>
      </c>
      <c r="G86" s="2">
        <v>621492</v>
      </c>
      <c r="H86" t="str">
        <f>IFERROR(TRIM(LEFT(Data_AnTuTu[[#This Row],[Device]], FIND("(",Data_AnTuTu[[#This Row],[Device]])-1)), TRIM(Data_AnTuTu[[#This Row],[Device]]))</f>
        <v>iPad 8</v>
      </c>
      <c r="I86" t="str">
        <f>_xlfn.XLOOKUP(Data_AnTuTu[[#This Row],[Device_Clean]], Tbl_Mapping[Device_Clean], Tbl_Mapping[True_CPU], "Tidak Ditemukan")</f>
        <v>A12 Bionic</v>
      </c>
      <c r="J86">
        <f>_xlfn.XLOOKUP(Data_AnTuTu[[#This Row],[CPU_Name_Bridge]], Data_CPU[CPU_Clean], Data_CPU[coreCount], "")</f>
        <v>6</v>
      </c>
    </row>
    <row r="87" spans="1:10" x14ac:dyDescent="0.3">
      <c r="A87" t="s">
        <v>620</v>
      </c>
      <c r="B87" t="s">
        <v>621</v>
      </c>
      <c r="C87">
        <v>176678</v>
      </c>
      <c r="D87">
        <v>223183</v>
      </c>
      <c r="E87">
        <v>92946</v>
      </c>
      <c r="F87">
        <v>122376</v>
      </c>
      <c r="G87" s="2">
        <v>615182</v>
      </c>
      <c r="H87" t="str">
        <f>IFERROR(TRIM(LEFT(Data_AnTuTu[[#This Row],[Device]], FIND("(",Data_AnTuTu[[#This Row],[Device]])-1)), TRIM(Data_AnTuTu[[#This Row],[Device]]))</f>
        <v>LG V60 ThinQ 5G</v>
      </c>
      <c r="I87" t="str">
        <f>_xlfn.XLOOKUP(Data_AnTuTu[[#This Row],[Device_Clean]], Tbl_Mapping[Device_Clean], Tbl_Mapping[True_CPU], "Tidak Ditemukan")</f>
        <v>Snapdragon 865</v>
      </c>
      <c r="J87">
        <f>_xlfn.XLOOKUP(Data_AnTuTu[[#This Row],[CPU_Name_Bridge]], Data_CPU[CPU_Clean], Data_CPU[coreCount], "")</f>
        <v>8</v>
      </c>
    </row>
    <row r="88" spans="1:10" x14ac:dyDescent="0.3">
      <c r="A88" t="s">
        <v>622</v>
      </c>
      <c r="B88" t="s">
        <v>17</v>
      </c>
      <c r="C88">
        <v>158699</v>
      </c>
      <c r="D88">
        <v>221986</v>
      </c>
      <c r="E88">
        <v>118874</v>
      </c>
      <c r="F88">
        <v>115609</v>
      </c>
      <c r="G88" s="2">
        <v>615168</v>
      </c>
      <c r="H88" t="str">
        <f>IFERROR(TRIM(LEFT(Data_AnTuTu[[#This Row],[Device]], FIND("(",Data_AnTuTu[[#This Row],[Device]])-1)), TRIM(Data_AnTuTu[[#This Row],[Device]]))</f>
        <v>Galaxy Note20 Ultra LTE</v>
      </c>
      <c r="I88" t="str">
        <f>_xlfn.XLOOKUP(Data_AnTuTu[[#This Row],[Device_Clean]], Tbl_Mapping[Device_Clean], Tbl_Mapping[True_CPU], "Tidak Ditemukan")</f>
        <v>Exynos 990</v>
      </c>
      <c r="J88">
        <f>_xlfn.XLOOKUP(Data_AnTuTu[[#This Row],[CPU_Name_Bridge]], Data_CPU[CPU_Clean], Data_CPU[coreCount], "")</f>
        <v>8</v>
      </c>
    </row>
    <row r="89" spans="1:10" x14ac:dyDescent="0.3">
      <c r="A89" t="s">
        <v>623</v>
      </c>
      <c r="B89" t="s">
        <v>17</v>
      </c>
      <c r="C89">
        <v>161587</v>
      </c>
      <c r="D89">
        <v>224508</v>
      </c>
      <c r="E89">
        <v>110592</v>
      </c>
      <c r="F89">
        <v>117713</v>
      </c>
      <c r="G89" s="2">
        <v>614400</v>
      </c>
      <c r="H89" t="str">
        <f>IFERROR(TRIM(LEFT(Data_AnTuTu[[#This Row],[Device]], FIND("(",Data_AnTuTu[[#This Row],[Device]])-1)), TRIM(Data_AnTuTu[[#This Row],[Device]]))</f>
        <v>Galaxy S20+</v>
      </c>
      <c r="I89" t="str">
        <f>_xlfn.XLOOKUP(Data_AnTuTu[[#This Row],[Device_Clean]], Tbl_Mapping[Device_Clean], Tbl_Mapping[True_CPU], "Tidak Ditemukan")</f>
        <v>Exynos 990</v>
      </c>
      <c r="J89">
        <f>_xlfn.XLOOKUP(Data_AnTuTu[[#This Row],[CPU_Name_Bridge]], Data_CPU[CPU_Clean], Data_CPU[coreCount], "")</f>
        <v>8</v>
      </c>
    </row>
    <row r="90" spans="1:10" x14ac:dyDescent="0.3">
      <c r="A90" t="s">
        <v>624</v>
      </c>
      <c r="B90" t="s">
        <v>531</v>
      </c>
      <c r="C90">
        <v>150620</v>
      </c>
      <c r="D90">
        <v>209983</v>
      </c>
      <c r="E90">
        <v>118075</v>
      </c>
      <c r="F90">
        <v>132945</v>
      </c>
      <c r="G90" s="2">
        <v>611623</v>
      </c>
      <c r="H90" t="str">
        <f>IFERROR(TRIM(LEFT(Data_AnTuTu[[#This Row],[Device]], FIND("(",Data_AnTuTu[[#This Row],[Device]])-1)), TRIM(Data_AnTuTu[[#This Row],[Device]]))</f>
        <v>Poco X3 Pro</v>
      </c>
      <c r="I90" t="str">
        <f>_xlfn.XLOOKUP(Data_AnTuTu[[#This Row],[Device_Clean]], Tbl_Mapping[Device_Clean], Tbl_Mapping[True_CPU], "Tidak Ditemukan")</f>
        <v>Snapdragon 860</v>
      </c>
      <c r="J90">
        <f>_xlfn.XLOOKUP(Data_AnTuTu[[#This Row],[CPU_Name_Bridge]], Data_CPU[CPU_Clean], Data_CPU[coreCount], "")</f>
        <v>8</v>
      </c>
    </row>
    <row r="91" spans="1:10" x14ac:dyDescent="0.3">
      <c r="A91" t="s">
        <v>625</v>
      </c>
      <c r="B91" t="s">
        <v>7</v>
      </c>
      <c r="C91">
        <v>179447</v>
      </c>
      <c r="D91">
        <v>221726</v>
      </c>
      <c r="E91">
        <v>98776</v>
      </c>
      <c r="F91">
        <v>108722</v>
      </c>
      <c r="G91" s="2">
        <v>608671</v>
      </c>
      <c r="H91" t="str">
        <f>IFERROR(TRIM(LEFT(Data_AnTuTu[[#This Row],[Device]], FIND("(",Data_AnTuTu[[#This Row],[Device]])-1)), TRIM(Data_AnTuTu[[#This Row],[Device]]))</f>
        <v>iPhone XS</v>
      </c>
      <c r="I91" t="str">
        <f>_xlfn.XLOOKUP(Data_AnTuTu[[#This Row],[Device_Clean]], Tbl_Mapping[Device_Clean], Tbl_Mapping[True_CPU], "Tidak Ditemukan")</f>
        <v>A12 Bionic</v>
      </c>
      <c r="J91">
        <f>_xlfn.XLOOKUP(Data_AnTuTu[[#This Row],[CPU_Name_Bridge]], Data_CPU[CPU_Clean], Data_CPU[coreCount], "")</f>
        <v>6</v>
      </c>
    </row>
    <row r="92" spans="1:10" x14ac:dyDescent="0.3">
      <c r="A92" t="s">
        <v>626</v>
      </c>
      <c r="B92" t="s">
        <v>7</v>
      </c>
      <c r="C92">
        <v>177557</v>
      </c>
      <c r="D92">
        <v>219809</v>
      </c>
      <c r="E92">
        <v>98240</v>
      </c>
      <c r="F92">
        <v>109954</v>
      </c>
      <c r="G92" s="2">
        <v>605560</v>
      </c>
      <c r="H92" t="str">
        <f>IFERROR(TRIM(LEFT(Data_AnTuTu[[#This Row],[Device]], FIND("(",Data_AnTuTu[[#This Row],[Device]])-1)), TRIM(Data_AnTuTu[[#This Row],[Device]]))</f>
        <v>iPhone XS Max</v>
      </c>
      <c r="I92" t="str">
        <f>_xlfn.XLOOKUP(Data_AnTuTu[[#This Row],[Device_Clean]], Tbl_Mapping[Device_Clean], Tbl_Mapping[True_CPU], "Tidak Ditemukan")</f>
        <v>A12 Bionic</v>
      </c>
      <c r="J92">
        <f>_xlfn.XLOOKUP(Data_AnTuTu[[#This Row],[CPU_Name_Bridge]], Data_CPU[CPU_Clean], Data_CPU[coreCount], "")</f>
        <v>6</v>
      </c>
    </row>
    <row r="93" spans="1:10" x14ac:dyDescent="0.3">
      <c r="A93" t="s">
        <v>627</v>
      </c>
      <c r="B93" t="s">
        <v>7</v>
      </c>
      <c r="C93">
        <v>177207</v>
      </c>
      <c r="D93">
        <v>211440</v>
      </c>
      <c r="E93">
        <v>87954</v>
      </c>
      <c r="F93">
        <v>106907</v>
      </c>
      <c r="G93" s="2">
        <v>583508</v>
      </c>
      <c r="H93" t="str">
        <f>IFERROR(TRIM(LEFT(Data_AnTuTu[[#This Row],[Device]], FIND("(",Data_AnTuTu[[#This Row],[Device]])-1)), TRIM(Data_AnTuTu[[#This Row],[Device]]))</f>
        <v>iPhone XR</v>
      </c>
      <c r="I93" t="str">
        <f>_xlfn.XLOOKUP(Data_AnTuTu[[#This Row],[Device_Clean]], Tbl_Mapping[Device_Clean], Tbl_Mapping[True_CPU], "Tidak Ditemukan")</f>
        <v>A12 Bionic</v>
      </c>
      <c r="J93">
        <f>_xlfn.XLOOKUP(Data_AnTuTu[[#This Row],[CPU_Name_Bridge]], Data_CPU[CPU_Clean], Data_CPU[coreCount], "")</f>
        <v>6</v>
      </c>
    </row>
    <row r="94" spans="1:10" x14ac:dyDescent="0.3">
      <c r="A94" t="s">
        <v>628</v>
      </c>
      <c r="B94" t="s">
        <v>17</v>
      </c>
      <c r="C94">
        <v>150898</v>
      </c>
      <c r="D94">
        <v>217657</v>
      </c>
      <c r="E94">
        <v>108980</v>
      </c>
      <c r="F94">
        <v>105101</v>
      </c>
      <c r="G94" s="2">
        <v>582636</v>
      </c>
      <c r="H94" t="str">
        <f>IFERROR(TRIM(LEFT(Data_AnTuTu[[#This Row],[Device]], FIND("(",Data_AnTuTu[[#This Row],[Device]])-1)), TRIM(Data_AnTuTu[[#This Row],[Device]]))</f>
        <v>Galaxy S20 4G</v>
      </c>
      <c r="I94" t="str">
        <f>_xlfn.XLOOKUP(Data_AnTuTu[[#This Row],[Device_Clean]], Tbl_Mapping[Device_Clean], Tbl_Mapping[True_CPU], "Tidak Ditemukan")</f>
        <v>Exynos 990</v>
      </c>
      <c r="J94">
        <f>_xlfn.XLOOKUP(Data_AnTuTu[[#This Row],[CPU_Name_Bridge]], Data_CPU[CPU_Clean], Data_CPU[coreCount], "")</f>
        <v>8</v>
      </c>
    </row>
    <row r="95" spans="1:10" x14ac:dyDescent="0.3">
      <c r="A95" t="s">
        <v>629</v>
      </c>
      <c r="B95" t="s">
        <v>537</v>
      </c>
      <c r="C95">
        <v>146725</v>
      </c>
      <c r="D95">
        <v>207279</v>
      </c>
      <c r="E95">
        <v>82177</v>
      </c>
      <c r="F95">
        <v>124696</v>
      </c>
      <c r="G95" s="2">
        <v>560877</v>
      </c>
      <c r="H95" t="str">
        <f>IFERROR(TRIM(LEFT(Data_AnTuTu[[#This Row],[Device]], FIND("(",Data_AnTuTu[[#This Row],[Device]])-1)), TRIM(Data_AnTuTu[[#This Row],[Device]]))</f>
        <v>realme X2 Pro</v>
      </c>
      <c r="I95" t="str">
        <f>_xlfn.XLOOKUP(Data_AnTuTu[[#This Row],[Device_Clean]], Tbl_Mapping[Device_Clean], Tbl_Mapping[True_CPU], "Tidak Ditemukan")</f>
        <v>Snapdragon 855 Plus</v>
      </c>
      <c r="J95">
        <f>_xlfn.XLOOKUP(Data_AnTuTu[[#This Row],[CPU_Name_Bridge]], Data_CPU[CPU_Clean], Data_CPU[coreCount], "")</f>
        <v>8</v>
      </c>
    </row>
    <row r="96" spans="1:10" x14ac:dyDescent="0.3">
      <c r="A96" t="s">
        <v>630</v>
      </c>
      <c r="B96" t="s">
        <v>539</v>
      </c>
      <c r="C96">
        <v>160554</v>
      </c>
      <c r="D96">
        <v>165041</v>
      </c>
      <c r="E96">
        <v>104920</v>
      </c>
      <c r="F96">
        <v>129076</v>
      </c>
      <c r="G96" s="2">
        <v>559591</v>
      </c>
      <c r="H96" t="str">
        <f>IFERROR(TRIM(LEFT(Data_AnTuTu[[#This Row],[Device]], FIND("(",Data_AnTuTu[[#This Row],[Device]])-1)), TRIM(Data_AnTuTu[[#This Row],[Device]]))</f>
        <v>iQOO Z5</v>
      </c>
      <c r="I96" t="str">
        <f>_xlfn.XLOOKUP(Data_AnTuTu[[#This Row],[Device_Clean]], Tbl_Mapping[Device_Clean], Tbl_Mapping[True_CPU], "Tidak Ditemukan")</f>
        <v>Snapdragon 778G</v>
      </c>
      <c r="J96">
        <f>_xlfn.XLOOKUP(Data_AnTuTu[[#This Row],[CPU_Name_Bridge]], Data_CPU[CPU_Clean], Data_CPU[coreCount], "")</f>
        <v>8</v>
      </c>
    </row>
    <row r="97" spans="1:10" x14ac:dyDescent="0.3">
      <c r="A97" t="s">
        <v>631</v>
      </c>
      <c r="B97" t="s">
        <v>588</v>
      </c>
      <c r="C97">
        <v>150661</v>
      </c>
      <c r="D97">
        <v>175397</v>
      </c>
      <c r="E97">
        <v>113461</v>
      </c>
      <c r="F97">
        <v>118323</v>
      </c>
      <c r="G97" s="2">
        <v>557841</v>
      </c>
      <c r="H97" t="str">
        <f>IFERROR(TRIM(LEFT(Data_AnTuTu[[#This Row],[Device]], FIND("(",Data_AnTuTu[[#This Row],[Device]])-1)), TRIM(Data_AnTuTu[[#This Row],[Device]]))</f>
        <v>HUAWEI P40 Pro 5G</v>
      </c>
      <c r="I97" t="str">
        <f>_xlfn.XLOOKUP(Data_AnTuTu[[#This Row],[Device_Clean]], Tbl_Mapping[Device_Clean], Tbl_Mapping[True_CPU], "Tidak Ditemukan")</f>
        <v>Kirin 990 (5G)</v>
      </c>
      <c r="J97">
        <f>_xlfn.XLOOKUP(Data_AnTuTu[[#This Row],[CPU_Name_Bridge]], Data_CPU[CPU_Clean], Data_CPU[coreCount], "")</f>
        <v>8</v>
      </c>
    </row>
    <row r="98" spans="1:10" x14ac:dyDescent="0.3">
      <c r="A98" t="s">
        <v>632</v>
      </c>
      <c r="B98" t="s">
        <v>17</v>
      </c>
      <c r="C98">
        <v>133825</v>
      </c>
      <c r="D98">
        <v>203328</v>
      </c>
      <c r="E98">
        <v>116372</v>
      </c>
      <c r="F98">
        <v>99726</v>
      </c>
      <c r="G98" s="2">
        <v>553251</v>
      </c>
      <c r="H98" t="str">
        <f>IFERROR(TRIM(LEFT(Data_AnTuTu[[#This Row],[Device]], FIND("(",Data_AnTuTu[[#This Row],[Device]])-1)), TRIM(Data_AnTuTu[[#This Row],[Device]]))</f>
        <v>Galaxy Note10+ 5G</v>
      </c>
      <c r="I98" t="str">
        <f>_xlfn.XLOOKUP(Data_AnTuTu[[#This Row],[Device_Clean]], Tbl_Mapping[Device_Clean], Tbl_Mapping[True_CPU], "Tidak Ditemukan")</f>
        <v>Exynos 9825</v>
      </c>
      <c r="J98">
        <f>_xlfn.XLOOKUP(Data_AnTuTu[[#This Row],[CPU_Name_Bridge]], Data_CPU[CPU_Clean], Data_CPU[coreCount], "")</f>
        <v>8</v>
      </c>
    </row>
    <row r="99" spans="1:10" x14ac:dyDescent="0.3">
      <c r="A99" t="s">
        <v>633</v>
      </c>
      <c r="B99" t="s">
        <v>17</v>
      </c>
      <c r="C99">
        <v>135092</v>
      </c>
      <c r="D99">
        <v>190038</v>
      </c>
      <c r="E99">
        <v>113773</v>
      </c>
      <c r="F99">
        <v>107469</v>
      </c>
      <c r="G99" s="2">
        <v>546372</v>
      </c>
      <c r="H99" t="str">
        <f>IFERROR(TRIM(LEFT(Data_AnTuTu[[#This Row],[Device]], FIND("(",Data_AnTuTu[[#This Row],[Device]])-1)), TRIM(Data_AnTuTu[[#This Row],[Device]]))</f>
        <v>Galaxy Note10</v>
      </c>
      <c r="I99" t="str">
        <f>_xlfn.XLOOKUP(Data_AnTuTu[[#This Row],[Device_Clean]], Tbl_Mapping[Device_Clean], Tbl_Mapping[True_CPU], "Tidak Ditemukan")</f>
        <v>Exynos 9825</v>
      </c>
      <c r="J99">
        <f>_xlfn.XLOOKUP(Data_AnTuTu[[#This Row],[CPU_Name_Bridge]], Data_CPU[CPU_Clean], Data_CPU[coreCount], "")</f>
        <v>8</v>
      </c>
    </row>
    <row r="100" spans="1:10" x14ac:dyDescent="0.3">
      <c r="A100" t="s">
        <v>634</v>
      </c>
      <c r="B100" t="s">
        <v>531</v>
      </c>
      <c r="C100">
        <v>146135</v>
      </c>
      <c r="D100">
        <v>198953</v>
      </c>
      <c r="E100">
        <v>80700</v>
      </c>
      <c r="F100">
        <v>120326</v>
      </c>
      <c r="G100" s="2">
        <v>546114</v>
      </c>
      <c r="H100" t="str">
        <f>IFERROR(TRIM(LEFT(Data_AnTuTu[[#This Row],[Device]], FIND("(",Data_AnTuTu[[#This Row],[Device]])-1)), TRIM(Data_AnTuTu[[#This Row],[Device]]))</f>
        <v>Redmi K20 Pro</v>
      </c>
      <c r="I100" t="str">
        <f>_xlfn.XLOOKUP(Data_AnTuTu[[#This Row],[Device_Clean]], Tbl_Mapping[Device_Clean], Tbl_Mapping[True_CPU], "Tidak Ditemukan")</f>
        <v>Snapdragon 855</v>
      </c>
      <c r="J100">
        <f>_xlfn.XLOOKUP(Data_AnTuTu[[#This Row],[CPU_Name_Bridge]], Data_CPU[CPU_Clean], Data_CPU[coreCount], "")</f>
        <v>8</v>
      </c>
    </row>
    <row r="101" spans="1:10" x14ac:dyDescent="0.3">
      <c r="A101" t="s">
        <v>635</v>
      </c>
      <c r="B101" t="s">
        <v>17</v>
      </c>
      <c r="C101">
        <v>130126</v>
      </c>
      <c r="D101">
        <v>202582</v>
      </c>
      <c r="E101">
        <v>115188</v>
      </c>
      <c r="F101">
        <v>97483</v>
      </c>
      <c r="G101" s="2">
        <v>545379</v>
      </c>
      <c r="H101" t="str">
        <f>IFERROR(TRIM(LEFT(Data_AnTuTu[[#This Row],[Device]], FIND("(",Data_AnTuTu[[#This Row],[Device]])-1)), TRIM(Data_AnTuTu[[#This Row],[Device]]))</f>
        <v>Galaxy Note10+</v>
      </c>
      <c r="I101" t="str">
        <f>_xlfn.XLOOKUP(Data_AnTuTu[[#This Row],[Device_Clean]], Tbl_Mapping[Device_Clean], Tbl_Mapping[True_CPU], "Tidak Ditemukan")</f>
        <v>Exynos 9825</v>
      </c>
      <c r="J101">
        <f>_xlfn.XLOOKUP(Data_AnTuTu[[#This Row],[CPU_Name_Bridge]], Data_CPU[CPU_Clean], Data_CPU[coreCount], "")</f>
        <v>8</v>
      </c>
    </row>
    <row r="102" spans="1:10" x14ac:dyDescent="0.3">
      <c r="A102" t="s">
        <v>636</v>
      </c>
      <c r="B102" t="s">
        <v>537</v>
      </c>
      <c r="C102">
        <v>162810</v>
      </c>
      <c r="D102">
        <v>158185</v>
      </c>
      <c r="E102">
        <v>93097</v>
      </c>
      <c r="F102">
        <v>130770</v>
      </c>
      <c r="G102" s="2">
        <v>544862</v>
      </c>
      <c r="H102" t="str">
        <f>IFERROR(TRIM(LEFT(Data_AnTuTu[[#This Row],[Device]], FIND("(",Data_AnTuTu[[#This Row],[Device]])-1)), TRIM(Data_AnTuTu[[#This Row],[Device]]))</f>
        <v>realme GT Master</v>
      </c>
      <c r="I102" t="str">
        <f>_xlfn.XLOOKUP(Data_AnTuTu[[#This Row],[Device_Clean]], Tbl_Mapping[Device_Clean], Tbl_Mapping[True_CPU], "Tidak Ditemukan")</f>
        <v>Snapdragon 778G</v>
      </c>
      <c r="J102">
        <f>_xlfn.XLOOKUP(Data_AnTuTu[[#This Row],[CPU_Name_Bridge]], Data_CPU[CPU_Clean], Data_CPU[coreCount], "")</f>
        <v>8</v>
      </c>
    </row>
    <row r="103" spans="1:10" x14ac:dyDescent="0.3">
      <c r="A103" t="s">
        <v>637</v>
      </c>
      <c r="B103" t="s">
        <v>7</v>
      </c>
      <c r="C103">
        <v>155467</v>
      </c>
      <c r="D103">
        <v>222536</v>
      </c>
      <c r="E103">
        <v>59771</v>
      </c>
      <c r="F103">
        <v>95609</v>
      </c>
      <c r="G103" s="2">
        <v>533383</v>
      </c>
      <c r="H103" t="str">
        <f>IFERROR(TRIM(LEFT(Data_AnTuTu[[#This Row],[Device]], FIND("(",Data_AnTuTu[[#This Row],[Device]])-1)), TRIM(Data_AnTuTu[[#This Row],[Device]]))</f>
        <v>iPad Pro 2</v>
      </c>
      <c r="I103" t="str">
        <f>_xlfn.XLOOKUP(Data_AnTuTu[[#This Row],[Device_Clean]], Tbl_Mapping[Device_Clean], Tbl_Mapping[True_CPU], "Tidak Ditemukan")</f>
        <v>A10X Fusion</v>
      </c>
      <c r="J103" t="str">
        <f>_xlfn.XLOOKUP(Data_AnTuTu[[#This Row],[CPU_Name_Bridge]], Data_CPU[CPU_Clean], Data_CPU[coreCount], "")</f>
        <v/>
      </c>
    </row>
    <row r="104" spans="1:10" x14ac:dyDescent="0.3">
      <c r="A104" t="s">
        <v>638</v>
      </c>
      <c r="B104" t="s">
        <v>531</v>
      </c>
      <c r="C104">
        <v>147840</v>
      </c>
      <c r="D104">
        <v>194579</v>
      </c>
      <c r="E104">
        <v>80851</v>
      </c>
      <c r="F104">
        <v>109653</v>
      </c>
      <c r="G104" s="2">
        <v>532919</v>
      </c>
      <c r="H104" t="str">
        <f>IFERROR(TRIM(LEFT(Data_AnTuTu[[#This Row],[Device]], FIND("(",Data_AnTuTu[[#This Row],[Device]])-1)), TRIM(Data_AnTuTu[[#This Row],[Device]]))</f>
        <v>Mi 9</v>
      </c>
      <c r="I104" t="str">
        <f>_xlfn.XLOOKUP(Data_AnTuTu[[#This Row],[Device_Clean]], Tbl_Mapping[Device_Clean], Tbl_Mapping[True_CPU], "Tidak Ditemukan")</f>
        <v>Snapdragon 855</v>
      </c>
      <c r="J104">
        <f>_xlfn.XLOOKUP(Data_AnTuTu[[#This Row],[CPU_Name_Bridge]], Data_CPU[CPU_Clean], Data_CPU[coreCount], "")</f>
        <v>8</v>
      </c>
    </row>
    <row r="105" spans="1:10" x14ac:dyDescent="0.3">
      <c r="A105" t="s">
        <v>639</v>
      </c>
      <c r="B105" t="s">
        <v>531</v>
      </c>
      <c r="C105">
        <v>156830</v>
      </c>
      <c r="D105">
        <v>170813</v>
      </c>
      <c r="E105">
        <v>82547</v>
      </c>
      <c r="F105">
        <v>121833</v>
      </c>
      <c r="G105" s="2">
        <v>532023</v>
      </c>
      <c r="H105" t="str">
        <f>IFERROR(TRIM(LEFT(Data_AnTuTu[[#This Row],[Device]], FIND("(",Data_AnTuTu[[#This Row],[Device]])-1)), TRIM(Data_AnTuTu[[#This Row],[Device]]))</f>
        <v>Mi 11 Lite</v>
      </c>
      <c r="I105" t="str">
        <f>_xlfn.XLOOKUP(Data_AnTuTu[[#This Row],[Device_Clean]], Tbl_Mapping[Device_Clean], Tbl_Mapping[True_CPU], "Tidak Ditemukan")</f>
        <v>Snapdragon 780G</v>
      </c>
      <c r="J105">
        <f>_xlfn.XLOOKUP(Data_AnTuTu[[#This Row],[CPU_Name_Bridge]], Data_CPU[CPU_Clean], Data_CPU[coreCount], "")</f>
        <v>8</v>
      </c>
    </row>
    <row r="106" spans="1:10" x14ac:dyDescent="0.3">
      <c r="A106" t="s">
        <v>640</v>
      </c>
      <c r="B106" t="s">
        <v>537</v>
      </c>
      <c r="C106">
        <v>158676</v>
      </c>
      <c r="D106">
        <v>155124</v>
      </c>
      <c r="E106">
        <v>82828</v>
      </c>
      <c r="F106">
        <v>134178</v>
      </c>
      <c r="G106" s="2">
        <v>530806</v>
      </c>
      <c r="H106" t="str">
        <f>IFERROR(TRIM(LEFT(Data_AnTuTu[[#This Row],[Device]], FIND("(",Data_AnTuTu[[#This Row],[Device]])-1)), TRIM(Data_AnTuTu[[#This Row],[Device]]))</f>
        <v>realme Q3s</v>
      </c>
      <c r="I106" t="str">
        <f>_xlfn.XLOOKUP(Data_AnTuTu[[#This Row],[Device_Clean]], Tbl_Mapping[Device_Clean], Tbl_Mapping[True_CPU], "Tidak Ditemukan")</f>
        <v>Snapdragon 778G</v>
      </c>
      <c r="J106">
        <f>_xlfn.XLOOKUP(Data_AnTuTu[[#This Row],[CPU_Name_Bridge]], Data_CPU[CPU_Clean], Data_CPU[coreCount], "")</f>
        <v>8</v>
      </c>
    </row>
    <row r="107" spans="1:10" x14ac:dyDescent="0.3">
      <c r="A107" t="s">
        <v>641</v>
      </c>
      <c r="B107" t="s">
        <v>534</v>
      </c>
      <c r="C107">
        <v>158661</v>
      </c>
      <c r="D107">
        <v>160071</v>
      </c>
      <c r="E107">
        <v>79812</v>
      </c>
      <c r="F107">
        <v>128280</v>
      </c>
      <c r="G107" s="2">
        <v>526824</v>
      </c>
      <c r="H107" t="str">
        <f>IFERROR(TRIM(LEFT(Data_AnTuTu[[#This Row],[Device]], FIND("(",Data_AnTuTu[[#This Row],[Device]])-1)), TRIM(Data_AnTuTu[[#This Row],[Device]]))</f>
        <v>Motorola Edge 20</v>
      </c>
      <c r="I107" t="str">
        <f>_xlfn.XLOOKUP(Data_AnTuTu[[#This Row],[Device_Clean]], Tbl_Mapping[Device_Clean], Tbl_Mapping[True_CPU], "Tidak Ditemukan")</f>
        <v>Snapdragon 778G</v>
      </c>
      <c r="J107">
        <f>_xlfn.XLOOKUP(Data_AnTuTu[[#This Row],[CPU_Name_Bridge]], Data_CPU[CPU_Clean], Data_CPU[coreCount], "")</f>
        <v>8</v>
      </c>
    </row>
    <row r="108" spans="1:10" x14ac:dyDescent="0.3">
      <c r="A108" t="s">
        <v>642</v>
      </c>
      <c r="B108" t="s">
        <v>17</v>
      </c>
      <c r="C108">
        <v>132997</v>
      </c>
      <c r="D108">
        <v>187473</v>
      </c>
      <c r="E108">
        <v>89798</v>
      </c>
      <c r="F108">
        <v>115055</v>
      </c>
      <c r="G108" s="2">
        <v>525322</v>
      </c>
      <c r="H108" t="str">
        <f>IFERROR(TRIM(LEFT(Data_AnTuTu[[#This Row],[Device]], FIND("(",Data_AnTuTu[[#This Row],[Device]])-1)), TRIM(Data_AnTuTu[[#This Row],[Device]]))</f>
        <v>Galaxy S10 5G</v>
      </c>
      <c r="I108" t="str">
        <f>_xlfn.XLOOKUP(Data_AnTuTu[[#This Row],[Device_Clean]], Tbl_Mapping[Device_Clean], Tbl_Mapping[True_CPU], "Tidak Ditemukan")</f>
        <v>Exynos 9820</v>
      </c>
      <c r="J108">
        <f>_xlfn.XLOOKUP(Data_AnTuTu[[#This Row],[CPU_Name_Bridge]], Data_CPU[CPU_Clean], Data_CPU[coreCount], "")</f>
        <v>8</v>
      </c>
    </row>
    <row r="109" spans="1:10" x14ac:dyDescent="0.3">
      <c r="A109" t="s">
        <v>643</v>
      </c>
      <c r="B109" t="s">
        <v>531</v>
      </c>
      <c r="C109">
        <v>146709</v>
      </c>
      <c r="D109">
        <v>190616</v>
      </c>
      <c r="E109">
        <v>75726</v>
      </c>
      <c r="F109">
        <v>110293</v>
      </c>
      <c r="G109" s="2">
        <v>523344</v>
      </c>
      <c r="H109" t="str">
        <f>IFERROR(TRIM(LEFT(Data_AnTuTu[[#This Row],[Device]], FIND("(",Data_AnTuTu[[#This Row],[Device]])-1)), TRIM(Data_AnTuTu[[#This Row],[Device]]))</f>
        <v>Mi 9T Pro</v>
      </c>
      <c r="I109" t="str">
        <f>_xlfn.XLOOKUP(Data_AnTuTu[[#This Row],[Device_Clean]], Tbl_Mapping[Device_Clean], Tbl_Mapping[True_CPU], "Tidak Ditemukan")</f>
        <v>Snapdragon 855</v>
      </c>
      <c r="J109">
        <f>_xlfn.XLOOKUP(Data_AnTuTu[[#This Row],[CPU_Name_Bridge]], Data_CPU[CPU_Clean], Data_CPU[coreCount], "")</f>
        <v>8</v>
      </c>
    </row>
    <row r="110" spans="1:10" x14ac:dyDescent="0.3">
      <c r="A110" t="s">
        <v>644</v>
      </c>
      <c r="B110" t="s">
        <v>621</v>
      </c>
      <c r="C110">
        <v>142654</v>
      </c>
      <c r="D110">
        <v>186271</v>
      </c>
      <c r="E110">
        <v>76256</v>
      </c>
      <c r="F110">
        <v>114783</v>
      </c>
      <c r="G110" s="2">
        <v>519963</v>
      </c>
      <c r="H110" t="str">
        <f>IFERROR(TRIM(LEFT(Data_AnTuTu[[#This Row],[Device]], FIND("(",Data_AnTuTu[[#This Row],[Device]])-1)), TRIM(Data_AnTuTu[[#This Row],[Device]]))</f>
        <v>LG V50 ThinQ 5G</v>
      </c>
      <c r="I110" t="str">
        <f>_xlfn.XLOOKUP(Data_AnTuTu[[#This Row],[Device_Clean]], Tbl_Mapping[Device_Clean], Tbl_Mapping[True_CPU], "Tidak Ditemukan")</f>
        <v>Snapdragon 855</v>
      </c>
      <c r="J110">
        <f>_xlfn.XLOOKUP(Data_AnTuTu[[#This Row],[CPU_Name_Bridge]], Data_CPU[CPU_Clean], Data_CPU[coreCount], "")</f>
        <v>8</v>
      </c>
    </row>
    <row r="111" spans="1:10" x14ac:dyDescent="0.3">
      <c r="A111" t="s">
        <v>645</v>
      </c>
      <c r="B111" t="s">
        <v>531</v>
      </c>
      <c r="C111">
        <v>153937</v>
      </c>
      <c r="D111">
        <v>158990</v>
      </c>
      <c r="E111">
        <v>85772</v>
      </c>
      <c r="F111">
        <v>118234</v>
      </c>
      <c r="G111" s="2">
        <v>516932</v>
      </c>
      <c r="H111" t="str">
        <f>IFERROR(TRIM(LEFT(Data_AnTuTu[[#This Row],[Device]], FIND("(",Data_AnTuTu[[#This Row],[Device]])-1)), TRIM(Data_AnTuTu[[#This Row],[Device]]))</f>
        <v>Mi 11 Lite 5G NE</v>
      </c>
      <c r="I111" t="str">
        <f>_xlfn.XLOOKUP(Data_AnTuTu[[#This Row],[Device_Clean]], Tbl_Mapping[Device_Clean], Tbl_Mapping[True_CPU], "Tidak Ditemukan")</f>
        <v>Snapdragon 778G</v>
      </c>
      <c r="J111">
        <f>_xlfn.XLOOKUP(Data_AnTuTu[[#This Row],[CPU_Name_Bridge]], Data_CPU[CPU_Clean], Data_CPU[coreCount], "")</f>
        <v>8</v>
      </c>
    </row>
    <row r="112" spans="1:10" x14ac:dyDescent="0.3">
      <c r="A112" t="s">
        <v>646</v>
      </c>
      <c r="B112" t="s">
        <v>647</v>
      </c>
      <c r="C112">
        <v>146459</v>
      </c>
      <c r="D112">
        <v>188889</v>
      </c>
      <c r="E112">
        <v>66439</v>
      </c>
      <c r="F112">
        <v>110143</v>
      </c>
      <c r="G112" s="2">
        <v>511930</v>
      </c>
      <c r="H112" t="str">
        <f>IFERROR(TRIM(LEFT(Data_AnTuTu[[#This Row],[Device]], FIND("(",Data_AnTuTu[[#This Row],[Device]])-1)), TRIM(Data_AnTuTu[[#This Row],[Device]]))</f>
        <v>Sony Xperia 1</v>
      </c>
      <c r="I112" t="str">
        <f>_xlfn.XLOOKUP(Data_AnTuTu[[#This Row],[Device_Clean]], Tbl_Mapping[Device_Clean], Tbl_Mapping[True_CPU], "Tidak Ditemukan")</f>
        <v>Snapdragon 855</v>
      </c>
      <c r="J112">
        <f>_xlfn.XLOOKUP(Data_AnTuTu[[#This Row],[CPU_Name_Bridge]], Data_CPU[CPU_Clean], Data_CPU[coreCount], "")</f>
        <v>8</v>
      </c>
    </row>
    <row r="113" spans="1:10" x14ac:dyDescent="0.3">
      <c r="A113" t="s">
        <v>648</v>
      </c>
      <c r="B113" t="s">
        <v>649</v>
      </c>
      <c r="C113">
        <v>156246</v>
      </c>
      <c r="D113">
        <v>158579</v>
      </c>
      <c r="E113">
        <v>80212</v>
      </c>
      <c r="F113">
        <v>116389</v>
      </c>
      <c r="G113" s="2">
        <v>511424</v>
      </c>
      <c r="H113" t="str">
        <f>IFERROR(TRIM(LEFT(Data_AnTuTu[[#This Row],[Device]], FIND("(",Data_AnTuTu[[#This Row],[Device]])-1)), TRIM(Data_AnTuTu[[#This Row],[Device]]))</f>
        <v>HONOR 50</v>
      </c>
      <c r="I113" t="str">
        <f>_xlfn.XLOOKUP(Data_AnTuTu[[#This Row],[Device_Clean]], Tbl_Mapping[Device_Clean], Tbl_Mapping[True_CPU], "Tidak Ditemukan")</f>
        <v>Snapdragon 778G</v>
      </c>
      <c r="J113">
        <f>_xlfn.XLOOKUP(Data_AnTuTu[[#This Row],[CPU_Name_Bridge]], Data_CPU[CPU_Clean], Data_CPU[coreCount], "")</f>
        <v>8</v>
      </c>
    </row>
    <row r="114" spans="1:10" x14ac:dyDescent="0.3">
      <c r="A114" t="s">
        <v>650</v>
      </c>
      <c r="B114" t="s">
        <v>588</v>
      </c>
      <c r="C114">
        <v>151885</v>
      </c>
      <c r="D114">
        <v>157408</v>
      </c>
      <c r="E114">
        <v>85539</v>
      </c>
      <c r="F114">
        <v>113190</v>
      </c>
      <c r="G114" s="2">
        <v>508020</v>
      </c>
      <c r="H114" t="str">
        <f>IFERROR(TRIM(LEFT(Data_AnTuTu[[#This Row],[Device]], FIND("(",Data_AnTuTu[[#This Row],[Device]])-1)), TRIM(Data_AnTuTu[[#This Row],[Device]]))</f>
        <v>HUAWEI nova 9</v>
      </c>
      <c r="I114" t="str">
        <f>_xlfn.XLOOKUP(Data_AnTuTu[[#This Row],[Device_Clean]], Tbl_Mapping[Device_Clean], Tbl_Mapping[True_CPU], "Tidak Ditemukan")</f>
        <v>Snapdragon 778G</v>
      </c>
      <c r="J114">
        <f>_xlfn.XLOOKUP(Data_AnTuTu[[#This Row],[CPU_Name_Bridge]], Data_CPU[CPU_Clean], Data_CPU[coreCount], "")</f>
        <v>8</v>
      </c>
    </row>
    <row r="115" spans="1:10" x14ac:dyDescent="0.3">
      <c r="A115" t="s">
        <v>651</v>
      </c>
      <c r="B115" t="s">
        <v>621</v>
      </c>
      <c r="C115">
        <v>145632</v>
      </c>
      <c r="D115">
        <v>185063</v>
      </c>
      <c r="E115">
        <v>65845</v>
      </c>
      <c r="F115">
        <v>110432</v>
      </c>
      <c r="G115" s="2">
        <v>506972</v>
      </c>
      <c r="H115" t="str">
        <f>IFERROR(TRIM(LEFT(Data_AnTuTu[[#This Row],[Device]], FIND("(",Data_AnTuTu[[#This Row],[Device]])-1)), TRIM(Data_AnTuTu[[#This Row],[Device]]))</f>
        <v>LG G8 ThinQ</v>
      </c>
      <c r="I115" t="str">
        <f>_xlfn.XLOOKUP(Data_AnTuTu[[#This Row],[Device_Clean]], Tbl_Mapping[Device_Clean], Tbl_Mapping[True_CPU], "Tidak Ditemukan")</f>
        <v>Snapdragon 855</v>
      </c>
      <c r="J115">
        <f>_xlfn.XLOOKUP(Data_AnTuTu[[#This Row],[CPU_Name_Bridge]], Data_CPU[CPU_Clean], Data_CPU[coreCount], "")</f>
        <v>8</v>
      </c>
    </row>
    <row r="116" spans="1:10" x14ac:dyDescent="0.3">
      <c r="A116" t="s">
        <v>652</v>
      </c>
      <c r="B116" t="s">
        <v>17</v>
      </c>
      <c r="C116">
        <v>154014</v>
      </c>
      <c r="D116">
        <v>155720</v>
      </c>
      <c r="E116">
        <v>74844</v>
      </c>
      <c r="F116">
        <v>116989</v>
      </c>
      <c r="G116" s="2">
        <v>501567</v>
      </c>
      <c r="H116" t="str">
        <f>IFERROR(TRIM(LEFT(Data_AnTuTu[[#This Row],[Device]], FIND("(",Data_AnTuTu[[#This Row],[Device]])-1)), TRIM(Data_AnTuTu[[#This Row],[Device]]))</f>
        <v>Galaxy A52s 5G</v>
      </c>
      <c r="I116" t="str">
        <f>_xlfn.XLOOKUP(Data_AnTuTu[[#This Row],[Device_Clean]], Tbl_Mapping[Device_Clean], Tbl_Mapping[True_CPU], "Tidak Ditemukan")</f>
        <v>Snapdragon 778G</v>
      </c>
      <c r="J116">
        <f>_xlfn.XLOOKUP(Data_AnTuTu[[#This Row],[CPU_Name_Bridge]], Data_CPU[CPU_Clean], Data_CPU[coreCount], "")</f>
        <v>8</v>
      </c>
    </row>
    <row r="117" spans="1:10" x14ac:dyDescent="0.3">
      <c r="A117" t="s">
        <v>653</v>
      </c>
      <c r="B117" t="s">
        <v>17</v>
      </c>
      <c r="C117">
        <v>118170</v>
      </c>
      <c r="D117">
        <v>184883</v>
      </c>
      <c r="E117">
        <v>82315</v>
      </c>
      <c r="F117">
        <v>105954</v>
      </c>
      <c r="G117" s="2">
        <v>491321</v>
      </c>
      <c r="H117" t="str">
        <f>IFERROR(TRIM(LEFT(Data_AnTuTu[[#This Row],[Device]], FIND("(",Data_AnTuTu[[#This Row],[Device]])-1)), TRIM(Data_AnTuTu[[#This Row],[Device]]))</f>
        <v>Galaxy S10</v>
      </c>
      <c r="I117" t="str">
        <f>_xlfn.XLOOKUP(Data_AnTuTu[[#This Row],[Device_Clean]], Tbl_Mapping[Device_Clean], Tbl_Mapping[True_CPU], "Tidak Ditemukan")</f>
        <v>Exynos 9820</v>
      </c>
      <c r="J117">
        <f>_xlfn.XLOOKUP(Data_AnTuTu[[#This Row],[CPU_Name_Bridge]], Data_CPU[CPU_Clean], Data_CPU[coreCount], "")</f>
        <v>8</v>
      </c>
    </row>
    <row r="118" spans="1:10" x14ac:dyDescent="0.3">
      <c r="A118" t="s">
        <v>654</v>
      </c>
      <c r="B118" t="s">
        <v>17</v>
      </c>
      <c r="C118">
        <v>146361</v>
      </c>
      <c r="D118">
        <v>156559</v>
      </c>
      <c r="E118">
        <v>77521</v>
      </c>
      <c r="F118">
        <v>109874</v>
      </c>
      <c r="G118" s="2">
        <v>490315</v>
      </c>
      <c r="H118" t="str">
        <f>IFERROR(TRIM(LEFT(Data_AnTuTu[[#This Row],[Device]], FIND("(",Data_AnTuTu[[#This Row],[Device]])-1)), TRIM(Data_AnTuTu[[#This Row],[Device]]))</f>
        <v>Galaxy M52 5G</v>
      </c>
      <c r="I118" t="str">
        <f>_xlfn.XLOOKUP(Data_AnTuTu[[#This Row],[Device_Clean]], Tbl_Mapping[Device_Clean], Tbl_Mapping[True_CPU], "Tidak Ditemukan")</f>
        <v>Snapdragon 778G</v>
      </c>
      <c r="J118">
        <f>_xlfn.XLOOKUP(Data_AnTuTu[[#This Row],[CPU_Name_Bridge]], Data_CPU[CPU_Clean], Data_CPU[coreCount], "")</f>
        <v>8</v>
      </c>
    </row>
    <row r="119" spans="1:10" x14ac:dyDescent="0.3">
      <c r="A119" t="s">
        <v>655</v>
      </c>
      <c r="B119" t="s">
        <v>17</v>
      </c>
      <c r="C119">
        <v>115397</v>
      </c>
      <c r="D119">
        <v>183846</v>
      </c>
      <c r="E119">
        <v>81222</v>
      </c>
      <c r="F119">
        <v>103916</v>
      </c>
      <c r="G119" s="2">
        <v>484381</v>
      </c>
      <c r="H119" t="str">
        <f>IFERROR(TRIM(LEFT(Data_AnTuTu[[#This Row],[Device]], FIND("(",Data_AnTuTu[[#This Row],[Device]])-1)), TRIM(Data_AnTuTu[[#This Row],[Device]]))</f>
        <v>Galaxy S10+</v>
      </c>
      <c r="I119" t="str">
        <f>_xlfn.XLOOKUP(Data_AnTuTu[[#This Row],[Device_Clean]], Tbl_Mapping[Device_Clean], Tbl_Mapping[True_CPU], "Tidak Ditemukan")</f>
        <v>Exynos 9820</v>
      </c>
      <c r="J119">
        <f>_xlfn.XLOOKUP(Data_AnTuTu[[#This Row],[CPU_Name_Bridge]], Data_CPU[CPU_Clean], Data_CPU[coreCount], "")</f>
        <v>8</v>
      </c>
    </row>
    <row r="120" spans="1:10" x14ac:dyDescent="0.3">
      <c r="A120" t="s">
        <v>656</v>
      </c>
      <c r="B120" t="s">
        <v>17</v>
      </c>
      <c r="C120">
        <v>111238</v>
      </c>
      <c r="D120">
        <v>176782</v>
      </c>
      <c r="E120">
        <v>104045</v>
      </c>
      <c r="F120">
        <v>91629</v>
      </c>
      <c r="G120" s="2">
        <v>483694</v>
      </c>
      <c r="H120" t="str">
        <f>IFERROR(TRIM(LEFT(Data_AnTuTu[[#This Row],[Device]], FIND("(",Data_AnTuTu[[#This Row],[Device]])-1)), TRIM(Data_AnTuTu[[#This Row],[Device]]))</f>
        <v>Galaxy M62</v>
      </c>
      <c r="I120" t="str">
        <f>_xlfn.XLOOKUP(Data_AnTuTu[[#This Row],[Device_Clean]], Tbl_Mapping[Device_Clean], Tbl_Mapping[True_CPU], "Tidak Ditemukan")</f>
        <v>Exynos 9825</v>
      </c>
      <c r="J120">
        <f>_xlfn.XLOOKUP(Data_AnTuTu[[#This Row],[CPU_Name_Bridge]], Data_CPU[CPU_Clean], Data_CPU[coreCount], "")</f>
        <v>8</v>
      </c>
    </row>
    <row r="121" spans="1:10" x14ac:dyDescent="0.3">
      <c r="A121" t="s">
        <v>657</v>
      </c>
      <c r="B121" t="s">
        <v>649</v>
      </c>
      <c r="C121">
        <v>137349</v>
      </c>
      <c r="D121">
        <v>146216</v>
      </c>
      <c r="E121">
        <v>89894</v>
      </c>
      <c r="F121">
        <v>109287</v>
      </c>
      <c r="G121" s="2">
        <v>482746</v>
      </c>
      <c r="H121" t="str">
        <f>IFERROR(TRIM(LEFT(Data_AnTuTu[[#This Row],[Device]], FIND("(",Data_AnTuTu[[#This Row],[Device]])-1)), TRIM(Data_AnTuTu[[#This Row],[Device]]))</f>
        <v>HONOR 20 Pro</v>
      </c>
      <c r="I121" t="str">
        <f>_xlfn.XLOOKUP(Data_AnTuTu[[#This Row],[Device_Clean]], Tbl_Mapping[Device_Clean], Tbl_Mapping[True_CPU], "Tidak Ditemukan")</f>
        <v>Kirin 980</v>
      </c>
      <c r="J121">
        <f>_xlfn.XLOOKUP(Data_AnTuTu[[#This Row],[CPU_Name_Bridge]], Data_CPU[CPU_Clean], Data_CPU[coreCount], "")</f>
        <v>8</v>
      </c>
    </row>
    <row r="122" spans="1:10" x14ac:dyDescent="0.3">
      <c r="A122" t="s">
        <v>658</v>
      </c>
      <c r="B122" t="s">
        <v>588</v>
      </c>
      <c r="C122">
        <v>140736</v>
      </c>
      <c r="D122">
        <v>146535</v>
      </c>
      <c r="E122">
        <v>83379</v>
      </c>
      <c r="F122">
        <v>110484</v>
      </c>
      <c r="G122" s="2">
        <v>481133</v>
      </c>
      <c r="H122" t="str">
        <f>IFERROR(TRIM(LEFT(Data_AnTuTu[[#This Row],[Device]], FIND("(",Data_AnTuTu[[#This Row],[Device]])-1)), TRIM(Data_AnTuTu[[#This Row],[Device]]))</f>
        <v>HUAWEI nova 5T</v>
      </c>
      <c r="I122" t="str">
        <f>_xlfn.XLOOKUP(Data_AnTuTu[[#This Row],[Device_Clean]], Tbl_Mapping[Device_Clean], Tbl_Mapping[True_CPU], "Tidak Ditemukan")</f>
        <v>Kirin 980</v>
      </c>
      <c r="J122">
        <f>_xlfn.XLOOKUP(Data_AnTuTu[[#This Row],[CPU_Name_Bridge]], Data_CPU[CPU_Clean], Data_CPU[coreCount], "")</f>
        <v>8</v>
      </c>
    </row>
    <row r="123" spans="1:10" x14ac:dyDescent="0.3">
      <c r="A123" t="s">
        <v>659</v>
      </c>
      <c r="B123" t="s">
        <v>588</v>
      </c>
      <c r="C123">
        <v>138406</v>
      </c>
      <c r="D123">
        <v>146233</v>
      </c>
      <c r="E123">
        <v>85869</v>
      </c>
      <c r="F123">
        <v>109869</v>
      </c>
      <c r="G123" s="2">
        <v>480377</v>
      </c>
      <c r="H123" t="str">
        <f>IFERROR(TRIM(LEFT(Data_AnTuTu[[#This Row],[Device]], FIND("(",Data_AnTuTu[[#This Row],[Device]])-1)), TRIM(Data_AnTuTu[[#This Row],[Device]]))</f>
        <v>HUAWEI P30 Pro</v>
      </c>
      <c r="I123" t="str">
        <f>_xlfn.XLOOKUP(Data_AnTuTu[[#This Row],[Device_Clean]], Tbl_Mapping[Device_Clean], Tbl_Mapping[True_CPU], "Tidak Ditemukan")</f>
        <v>Kirin 980</v>
      </c>
      <c r="J123">
        <f>_xlfn.XLOOKUP(Data_AnTuTu[[#This Row],[CPU_Name_Bridge]], Data_CPU[CPU_Clean], Data_CPU[coreCount], "")</f>
        <v>8</v>
      </c>
    </row>
    <row r="124" spans="1:10" x14ac:dyDescent="0.3">
      <c r="A124" t="s">
        <v>660</v>
      </c>
      <c r="B124" t="s">
        <v>621</v>
      </c>
      <c r="C124">
        <v>128661</v>
      </c>
      <c r="D124">
        <v>171382</v>
      </c>
      <c r="E124">
        <v>70893</v>
      </c>
      <c r="F124">
        <v>107323</v>
      </c>
      <c r="G124" s="2">
        <v>478259</v>
      </c>
      <c r="H124" t="str">
        <f>IFERROR(TRIM(LEFT(Data_AnTuTu[[#This Row],[Device]], FIND("(",Data_AnTuTu[[#This Row],[Device]])-1)), TRIM(Data_AnTuTu[[#This Row],[Device]]))</f>
        <v>LG V50S ThinQ 5G</v>
      </c>
      <c r="I124" t="str">
        <f>_xlfn.XLOOKUP(Data_AnTuTu[[#This Row],[Device_Clean]], Tbl_Mapping[Device_Clean], Tbl_Mapping[True_CPU], "Tidak Ditemukan")</f>
        <v>Snapdragon 855</v>
      </c>
      <c r="J124">
        <f>_xlfn.XLOOKUP(Data_AnTuTu[[#This Row],[CPU_Name_Bridge]], Data_CPU[CPU_Clean], Data_CPU[coreCount], "")</f>
        <v>8</v>
      </c>
    </row>
    <row r="125" spans="1:10" x14ac:dyDescent="0.3">
      <c r="A125" t="s">
        <v>661</v>
      </c>
      <c r="B125" t="s">
        <v>588</v>
      </c>
      <c r="C125">
        <v>139135</v>
      </c>
      <c r="D125">
        <v>145369</v>
      </c>
      <c r="E125">
        <v>82599</v>
      </c>
      <c r="F125">
        <v>109925</v>
      </c>
      <c r="G125" s="2">
        <v>477028</v>
      </c>
      <c r="H125" t="str">
        <f>IFERROR(TRIM(LEFT(Data_AnTuTu[[#This Row],[Device]], FIND("(",Data_AnTuTu[[#This Row],[Device]])-1)), TRIM(Data_AnTuTu[[#This Row],[Device]]))</f>
        <v>HUAWEI P30</v>
      </c>
      <c r="I125" t="str">
        <f>_xlfn.XLOOKUP(Data_AnTuTu[[#This Row],[Device_Clean]], Tbl_Mapping[Device_Clean], Tbl_Mapping[True_CPU], "Tidak Ditemukan")</f>
        <v>Kirin 980</v>
      </c>
      <c r="J125">
        <f>_xlfn.XLOOKUP(Data_AnTuTu[[#This Row],[CPU_Name_Bridge]], Data_CPU[CPU_Clean], Data_CPU[coreCount], "")</f>
        <v>8</v>
      </c>
    </row>
    <row r="126" spans="1:10" x14ac:dyDescent="0.3">
      <c r="A126" t="s">
        <v>662</v>
      </c>
      <c r="B126" t="s">
        <v>649</v>
      </c>
      <c r="C126">
        <v>139130</v>
      </c>
      <c r="D126">
        <v>144526</v>
      </c>
      <c r="E126">
        <v>82589</v>
      </c>
      <c r="F126">
        <v>110467</v>
      </c>
      <c r="G126" s="2">
        <v>476712</v>
      </c>
      <c r="H126" t="str">
        <f>IFERROR(TRIM(LEFT(Data_AnTuTu[[#This Row],[Device]], FIND("(",Data_AnTuTu[[#This Row],[Device]])-1)), TRIM(Data_AnTuTu[[#This Row],[Device]]))</f>
        <v>HONOR 20</v>
      </c>
      <c r="I126" t="str">
        <f>_xlfn.XLOOKUP(Data_AnTuTu[[#This Row],[Device_Clean]], Tbl_Mapping[Device_Clean], Tbl_Mapping[True_CPU], "Tidak Ditemukan")</f>
        <v>Kirin 980</v>
      </c>
      <c r="J126">
        <f>_xlfn.XLOOKUP(Data_AnTuTu[[#This Row],[CPU_Name_Bridge]], Data_CPU[CPU_Clean], Data_CPU[coreCount], "")</f>
        <v>8</v>
      </c>
    </row>
    <row r="127" spans="1:10" x14ac:dyDescent="0.3">
      <c r="A127" t="s">
        <v>663</v>
      </c>
      <c r="B127" t="s">
        <v>621</v>
      </c>
      <c r="C127">
        <v>133358</v>
      </c>
      <c r="D127">
        <v>171303</v>
      </c>
      <c r="E127">
        <v>65647</v>
      </c>
      <c r="F127">
        <v>105111</v>
      </c>
      <c r="G127" s="2">
        <v>475418</v>
      </c>
      <c r="H127" t="str">
        <f>IFERROR(TRIM(LEFT(Data_AnTuTu[[#This Row],[Device]], FIND("(",Data_AnTuTu[[#This Row],[Device]])-1)), TRIM(Data_AnTuTu[[#This Row],[Device]]))</f>
        <v>LG G8X ThinQ</v>
      </c>
      <c r="I127" t="str">
        <f>_xlfn.XLOOKUP(Data_AnTuTu[[#This Row],[Device_Clean]], Tbl_Mapping[Device_Clean], Tbl_Mapping[True_CPU], "Tidak Ditemukan")</f>
        <v>Snapdragon 855</v>
      </c>
      <c r="J127">
        <f>_xlfn.XLOOKUP(Data_AnTuTu[[#This Row],[CPU_Name_Bridge]], Data_CPU[CPU_Clean], Data_CPU[coreCount], "")</f>
        <v>8</v>
      </c>
    </row>
    <row r="128" spans="1:10" x14ac:dyDescent="0.3">
      <c r="A128" t="s">
        <v>664</v>
      </c>
      <c r="B128" t="s">
        <v>531</v>
      </c>
      <c r="C128">
        <v>133765</v>
      </c>
      <c r="D128">
        <v>125150</v>
      </c>
      <c r="E128">
        <v>81216</v>
      </c>
      <c r="F128">
        <v>126430</v>
      </c>
      <c r="G128" s="2">
        <v>466561</v>
      </c>
      <c r="H128" t="str">
        <f>IFERROR(TRIM(LEFT(Data_AnTuTu[[#This Row],[Device]], FIND("(",Data_AnTuTu[[#This Row],[Device]])-1)), TRIM(Data_AnTuTu[[#This Row],[Device]]))</f>
        <v>Redmi Note 11 Pro</v>
      </c>
      <c r="I128" t="str">
        <f>_xlfn.XLOOKUP(Data_AnTuTu[[#This Row],[Device_Clean]], Tbl_Mapping[Device_Clean], Tbl_Mapping[True_CPU], "Tidak Ditemukan")</f>
        <v>Dimensity 920</v>
      </c>
      <c r="J128">
        <f>_xlfn.XLOOKUP(Data_AnTuTu[[#This Row],[CPU_Name_Bridge]], Data_CPU[CPU_Clean], Data_CPU[coreCount], "")</f>
        <v>8</v>
      </c>
    </row>
    <row r="129" spans="1:10" x14ac:dyDescent="0.3">
      <c r="A129" t="s">
        <v>665</v>
      </c>
      <c r="B129" t="s">
        <v>17</v>
      </c>
      <c r="C129">
        <v>109927</v>
      </c>
      <c r="D129">
        <v>174016</v>
      </c>
      <c r="E129">
        <v>80467</v>
      </c>
      <c r="F129">
        <v>99106</v>
      </c>
      <c r="G129" s="2">
        <v>463516</v>
      </c>
      <c r="H129" t="str">
        <f>IFERROR(TRIM(LEFT(Data_AnTuTu[[#This Row],[Device]], FIND("(",Data_AnTuTu[[#This Row],[Device]])-1)), TRIM(Data_AnTuTu[[#This Row],[Device]]))</f>
        <v>Galaxy S10e</v>
      </c>
      <c r="I129" t="str">
        <f>_xlfn.XLOOKUP(Data_AnTuTu[[#This Row],[Device_Clean]], Tbl_Mapping[Device_Clean], Tbl_Mapping[True_CPU], "Tidak Ditemukan")</f>
        <v>Exynos 9820</v>
      </c>
      <c r="J129">
        <f>_xlfn.XLOOKUP(Data_AnTuTu[[#This Row],[CPU_Name_Bridge]], Data_CPU[CPU_Clean], Data_CPU[coreCount], "")</f>
        <v>8</v>
      </c>
    </row>
    <row r="130" spans="1:10" x14ac:dyDescent="0.3">
      <c r="A130" t="s">
        <v>666</v>
      </c>
      <c r="B130" t="s">
        <v>7</v>
      </c>
      <c r="C130">
        <v>146827</v>
      </c>
      <c r="D130">
        <v>147963</v>
      </c>
      <c r="E130">
        <v>84301</v>
      </c>
      <c r="F130">
        <v>81936</v>
      </c>
      <c r="G130" s="2">
        <v>461027</v>
      </c>
      <c r="H130" t="str">
        <f>IFERROR(TRIM(LEFT(Data_AnTuTu[[#This Row],[Device]], FIND("(",Data_AnTuTu[[#This Row],[Device]])-1)), TRIM(Data_AnTuTu[[#This Row],[Device]]))</f>
        <v>iPhone X</v>
      </c>
      <c r="I130" t="str">
        <f>_xlfn.XLOOKUP(Data_AnTuTu[[#This Row],[Device_Clean]], Tbl_Mapping[Device_Clean], Tbl_Mapping[True_CPU], "Tidak Ditemukan")</f>
        <v>A11 Bionic</v>
      </c>
      <c r="J130">
        <f>_xlfn.XLOOKUP(Data_AnTuTu[[#This Row],[CPU_Name_Bridge]], Data_CPU[CPU_Clean], Data_CPU[coreCount], "")</f>
        <v>6</v>
      </c>
    </row>
    <row r="131" spans="1:10" x14ac:dyDescent="0.3">
      <c r="A131" t="s">
        <v>667</v>
      </c>
      <c r="B131" t="s">
        <v>588</v>
      </c>
      <c r="C131">
        <v>133786</v>
      </c>
      <c r="D131">
        <v>137393</v>
      </c>
      <c r="E131">
        <v>79428</v>
      </c>
      <c r="F131">
        <v>110047</v>
      </c>
      <c r="G131" s="2">
        <v>460652</v>
      </c>
      <c r="H131" t="str">
        <f>IFERROR(TRIM(LEFT(Data_AnTuTu[[#This Row],[Device]], FIND("(",Data_AnTuTu[[#This Row],[Device]])-1)), TRIM(Data_AnTuTu[[#This Row],[Device]]))</f>
        <v>HUAWEI Mate 20 Pro</v>
      </c>
      <c r="I131" t="str">
        <f>_xlfn.XLOOKUP(Data_AnTuTu[[#This Row],[Device_Clean]], Tbl_Mapping[Device_Clean], Tbl_Mapping[True_CPU], "Tidak Ditemukan")</f>
        <v>Kirin 980</v>
      </c>
      <c r="J131">
        <f>_xlfn.XLOOKUP(Data_AnTuTu[[#This Row],[CPU_Name_Bridge]], Data_CPU[CPU_Clean], Data_CPU[coreCount], "")</f>
        <v>8</v>
      </c>
    </row>
    <row r="132" spans="1:10" x14ac:dyDescent="0.3">
      <c r="A132" t="s">
        <v>668</v>
      </c>
      <c r="B132" t="s">
        <v>7</v>
      </c>
      <c r="C132">
        <v>161621</v>
      </c>
      <c r="D132">
        <v>144170</v>
      </c>
      <c r="E132">
        <v>60796</v>
      </c>
      <c r="F132">
        <v>82528</v>
      </c>
      <c r="G132" s="2">
        <v>449115</v>
      </c>
      <c r="H132" t="str">
        <f>IFERROR(TRIM(LEFT(Data_AnTuTu[[#This Row],[Device]], FIND("(",Data_AnTuTu[[#This Row],[Device]])-1)), TRIM(Data_AnTuTu[[#This Row],[Device]]))</f>
        <v>iPhone 8 Plus</v>
      </c>
      <c r="I132" t="str">
        <f>_xlfn.XLOOKUP(Data_AnTuTu[[#This Row],[Device_Clean]], Tbl_Mapping[Device_Clean], Tbl_Mapping[True_CPU], "Tidak Ditemukan")</f>
        <v>A11 Bionic</v>
      </c>
      <c r="J132">
        <f>_xlfn.XLOOKUP(Data_AnTuTu[[#This Row],[CPU_Name_Bridge]], Data_CPU[CPU_Clean], Data_CPU[coreCount], "")</f>
        <v>6</v>
      </c>
    </row>
    <row r="133" spans="1:10" x14ac:dyDescent="0.3">
      <c r="A133" t="s">
        <v>669</v>
      </c>
      <c r="B133" t="s">
        <v>554</v>
      </c>
      <c r="C133">
        <v>123835</v>
      </c>
      <c r="D133">
        <v>130038</v>
      </c>
      <c r="E133">
        <v>81331</v>
      </c>
      <c r="F133">
        <v>110622</v>
      </c>
      <c r="G133" s="2">
        <v>445826</v>
      </c>
      <c r="H133" t="str">
        <f>IFERROR(TRIM(LEFT(Data_AnTuTu[[#This Row],[Device]], FIND("(",Data_AnTuTu[[#This Row],[Device]])-1)), TRIM(Data_AnTuTu[[#This Row],[Device]]))</f>
        <v>OPPO Reno6 5G</v>
      </c>
      <c r="I133" t="str">
        <f>_xlfn.XLOOKUP(Data_AnTuTu[[#This Row],[Device_Clean]], Tbl_Mapping[Device_Clean], Tbl_Mapping[True_CPU], "Tidak Ditemukan")</f>
        <v>Dimensity 900</v>
      </c>
      <c r="J133">
        <f>_xlfn.XLOOKUP(Data_AnTuTu[[#This Row],[CPU_Name_Bridge]], Data_CPU[CPU_Clean], Data_CPU[coreCount], "")</f>
        <v>8</v>
      </c>
    </row>
    <row r="134" spans="1:10" x14ac:dyDescent="0.3">
      <c r="A134" t="s">
        <v>670</v>
      </c>
      <c r="B134" t="s">
        <v>7</v>
      </c>
      <c r="C134">
        <v>156649</v>
      </c>
      <c r="D134">
        <v>135124</v>
      </c>
      <c r="E134">
        <v>61215</v>
      </c>
      <c r="F134">
        <v>79122</v>
      </c>
      <c r="G134" s="2">
        <v>432110</v>
      </c>
      <c r="H134" t="str">
        <f>IFERROR(TRIM(LEFT(Data_AnTuTu[[#This Row],[Device]], FIND("(",Data_AnTuTu[[#This Row],[Device]])-1)), TRIM(Data_AnTuTu[[#This Row],[Device]]))</f>
        <v>iPhone 8</v>
      </c>
      <c r="I134" t="str">
        <f>_xlfn.XLOOKUP(Data_AnTuTu[[#This Row],[Device_Clean]], Tbl_Mapping[Device_Clean], Tbl_Mapping[True_CPU], "Tidak Ditemukan")</f>
        <v>A11 Bionic</v>
      </c>
      <c r="J134">
        <f>_xlfn.XLOOKUP(Data_AnTuTu[[#This Row],[CPU_Name_Bridge]], Data_CPU[CPU_Clean], Data_CPU[coreCount], "")</f>
        <v>6</v>
      </c>
    </row>
    <row r="135" spans="1:10" x14ac:dyDescent="0.3">
      <c r="A135" t="s">
        <v>671</v>
      </c>
      <c r="B135" t="s">
        <v>531</v>
      </c>
      <c r="C135">
        <v>99719</v>
      </c>
      <c r="D135">
        <v>162649</v>
      </c>
      <c r="E135">
        <v>67660</v>
      </c>
      <c r="F135">
        <v>90340</v>
      </c>
      <c r="G135" s="2">
        <v>420368</v>
      </c>
      <c r="H135" t="str">
        <f>IFERROR(TRIM(LEFT(Data_AnTuTu[[#This Row],[Device]], FIND("(",Data_AnTuTu[[#This Row],[Device]])-1)), TRIM(Data_AnTuTu[[#This Row],[Device]]))</f>
        <v>Poco F1</v>
      </c>
      <c r="I135" t="str">
        <f>_xlfn.XLOOKUP(Data_AnTuTu[[#This Row],[Device_Clean]], Tbl_Mapping[Device_Clean], Tbl_Mapping[True_CPU], "Tidak Ditemukan")</f>
        <v>Snapdragon 845</v>
      </c>
      <c r="J135">
        <f>_xlfn.XLOOKUP(Data_AnTuTu[[#This Row],[CPU_Name_Bridge]], Data_CPU[CPU_Clean], Data_CPU[coreCount], "")</f>
        <v>8</v>
      </c>
    </row>
    <row r="136" spans="1:10" x14ac:dyDescent="0.3">
      <c r="A136" t="s">
        <v>672</v>
      </c>
      <c r="B136" t="s">
        <v>531</v>
      </c>
      <c r="C136">
        <v>103508</v>
      </c>
      <c r="D136">
        <v>160901</v>
      </c>
      <c r="E136">
        <v>65957</v>
      </c>
      <c r="F136">
        <v>88365</v>
      </c>
      <c r="G136" s="2">
        <v>418731</v>
      </c>
      <c r="H136" t="str">
        <f>IFERROR(TRIM(LEFT(Data_AnTuTu[[#This Row],[Device]], FIND("(",Data_AnTuTu[[#This Row],[Device]])-1)), TRIM(Data_AnTuTu[[#This Row],[Device]]))</f>
        <v>Mi 8</v>
      </c>
      <c r="I136" t="str">
        <f>_xlfn.XLOOKUP(Data_AnTuTu[[#This Row],[Device_Clean]], Tbl_Mapping[Device_Clean], Tbl_Mapping[True_CPU], "Tidak Ditemukan")</f>
        <v>Snapdragon 845</v>
      </c>
      <c r="J136">
        <f>_xlfn.XLOOKUP(Data_AnTuTu[[#This Row],[CPU_Name_Bridge]], Data_CPU[CPU_Clean], Data_CPU[coreCount], "")</f>
        <v>8</v>
      </c>
    </row>
    <row r="137" spans="1:10" x14ac:dyDescent="0.3">
      <c r="A137" t="s">
        <v>673</v>
      </c>
      <c r="B137" t="s">
        <v>17</v>
      </c>
      <c r="C137">
        <v>113709</v>
      </c>
      <c r="D137">
        <v>122958</v>
      </c>
      <c r="E137">
        <v>75582</v>
      </c>
      <c r="F137">
        <v>106382</v>
      </c>
      <c r="G137" s="2">
        <v>418631</v>
      </c>
      <c r="H137" t="str">
        <f>IFERROR(TRIM(LEFT(Data_AnTuTu[[#This Row],[Device]], FIND("(",Data_AnTuTu[[#This Row],[Device]])-1)), TRIM(Data_AnTuTu[[#This Row],[Device]]))</f>
        <v>Galaxy A53 5G</v>
      </c>
      <c r="I137" t="str">
        <f>_xlfn.XLOOKUP(Data_AnTuTu[[#This Row],[Device_Clean]], Tbl_Mapping[Device_Clean], Tbl_Mapping[True_CPU], "Tidak Ditemukan")</f>
        <v>Exynos 1280</v>
      </c>
      <c r="J137">
        <f>_xlfn.XLOOKUP(Data_AnTuTu[[#This Row],[CPU_Name_Bridge]], Data_CPU[CPU_Clean], Data_CPU[coreCount], "")</f>
        <v>8</v>
      </c>
    </row>
    <row r="138" spans="1:10" x14ac:dyDescent="0.3">
      <c r="A138" t="s">
        <v>674</v>
      </c>
      <c r="B138" t="s">
        <v>537</v>
      </c>
      <c r="C138">
        <v>125250</v>
      </c>
      <c r="D138">
        <v>101244</v>
      </c>
      <c r="E138">
        <v>62636</v>
      </c>
      <c r="F138">
        <v>114970</v>
      </c>
      <c r="G138" s="2">
        <v>404100</v>
      </c>
      <c r="H138" t="str">
        <f>IFERROR(TRIM(LEFT(Data_AnTuTu[[#This Row],[Device]], FIND("(",Data_AnTuTu[[#This Row],[Device]])-1)), TRIM(Data_AnTuTu[[#This Row],[Device]]))</f>
        <v>realme 9 Pro</v>
      </c>
      <c r="I138" t="str">
        <f>_xlfn.XLOOKUP(Data_AnTuTu[[#This Row],[Device_Clean]], Tbl_Mapping[Device_Clean], Tbl_Mapping[True_CPU], "Tidak Ditemukan")</f>
        <v>Snapdragon 695</v>
      </c>
      <c r="J138">
        <f>_xlfn.XLOOKUP(Data_AnTuTu[[#This Row],[CPU_Name_Bridge]], Data_CPU[CPU_Clean], Data_CPU[coreCount], "")</f>
        <v>8</v>
      </c>
    </row>
    <row r="139" spans="1:10" x14ac:dyDescent="0.3">
      <c r="A139" t="s">
        <v>675</v>
      </c>
      <c r="B139" t="s">
        <v>17</v>
      </c>
      <c r="C139">
        <v>81341</v>
      </c>
      <c r="D139">
        <v>145328</v>
      </c>
      <c r="E139">
        <v>94508</v>
      </c>
      <c r="F139">
        <v>78137</v>
      </c>
      <c r="G139" s="2">
        <v>399314</v>
      </c>
      <c r="H139" t="str">
        <f>IFERROR(TRIM(LEFT(Data_AnTuTu[[#This Row],[Device]], FIND("(",Data_AnTuTu[[#This Row],[Device]])-1)), TRIM(Data_AnTuTu[[#This Row],[Device]]))</f>
        <v>Galaxy F62</v>
      </c>
      <c r="I139" t="str">
        <f>_xlfn.XLOOKUP(Data_AnTuTu[[#This Row],[Device_Clean]], Tbl_Mapping[Device_Clean], Tbl_Mapping[True_CPU], "Tidak Ditemukan")</f>
        <v>Exynos 9825</v>
      </c>
      <c r="J139">
        <f>_xlfn.XLOOKUP(Data_AnTuTu[[#This Row],[CPU_Name_Bridge]], Data_CPU[CPU_Clean], Data_CPU[coreCount], "")</f>
        <v>8</v>
      </c>
    </row>
    <row r="140" spans="1:10" x14ac:dyDescent="0.3">
      <c r="A140" t="s">
        <v>676</v>
      </c>
      <c r="B140" t="s">
        <v>531</v>
      </c>
      <c r="C140">
        <v>120427</v>
      </c>
      <c r="D140">
        <v>100714</v>
      </c>
      <c r="E140">
        <v>68572</v>
      </c>
      <c r="F140">
        <v>106176</v>
      </c>
      <c r="G140" s="2">
        <v>395887</v>
      </c>
      <c r="H140" t="str">
        <f>IFERROR(TRIM(LEFT(Data_AnTuTu[[#This Row],[Device]], FIND("(",Data_AnTuTu[[#This Row],[Device]])-1)), TRIM(Data_AnTuTu[[#This Row],[Device]]))</f>
        <v>Poco X4 NFC</v>
      </c>
      <c r="I140" t="str">
        <f>_xlfn.XLOOKUP(Data_AnTuTu[[#This Row],[Device_Clean]], Tbl_Mapping[Device_Clean], Tbl_Mapping[True_CPU], "Tidak Ditemukan")</f>
        <v>Snapdragon 695</v>
      </c>
      <c r="J140">
        <f>_xlfn.XLOOKUP(Data_AnTuTu[[#This Row],[CPU_Name_Bridge]], Data_CPU[CPU_Clean], Data_CPU[coreCount], "")</f>
        <v>8</v>
      </c>
    </row>
    <row r="141" spans="1:10" x14ac:dyDescent="0.3">
      <c r="A141" t="s">
        <v>677</v>
      </c>
      <c r="B141" t="s">
        <v>554</v>
      </c>
      <c r="C141">
        <v>112588</v>
      </c>
      <c r="D141">
        <v>104679</v>
      </c>
      <c r="E141">
        <v>72696</v>
      </c>
      <c r="F141">
        <v>98212</v>
      </c>
      <c r="G141" s="2">
        <v>388175</v>
      </c>
      <c r="H141" t="str">
        <f>IFERROR(TRIM(LEFT(Data_AnTuTu[[#This Row],[Device]], FIND("(",Data_AnTuTu[[#This Row],[Device]])-1)), TRIM(Data_AnTuTu[[#This Row],[Device]]))</f>
        <v>OPPO Reno5 A</v>
      </c>
      <c r="I141" t="str">
        <f>_xlfn.XLOOKUP(Data_AnTuTu[[#This Row],[Device_Clean]], Tbl_Mapping[Device_Clean], Tbl_Mapping[True_CPU], "Tidak Ditemukan")</f>
        <v>Snapdragon 765G</v>
      </c>
      <c r="J141">
        <f>_xlfn.XLOOKUP(Data_AnTuTu[[#This Row],[CPU_Name_Bridge]], Data_CPU[CPU_Clean], Data_CPU[coreCount], "")</f>
        <v>8</v>
      </c>
    </row>
    <row r="142" spans="1:10" x14ac:dyDescent="0.3">
      <c r="A142" t="s">
        <v>678</v>
      </c>
      <c r="B142" t="s">
        <v>7</v>
      </c>
      <c r="C142">
        <v>124517</v>
      </c>
      <c r="D142">
        <v>122941</v>
      </c>
      <c r="E142">
        <v>60547</v>
      </c>
      <c r="F142">
        <v>80159</v>
      </c>
      <c r="G142" s="2">
        <v>388164</v>
      </c>
      <c r="H142" t="str">
        <f>IFERROR(TRIM(LEFT(Data_AnTuTu[[#This Row],[Device]], FIND("(",Data_AnTuTu[[#This Row],[Device]])-1)), TRIM(Data_AnTuTu[[#This Row],[Device]]))</f>
        <v>iPad 7</v>
      </c>
      <c r="I142" t="str">
        <f>_xlfn.XLOOKUP(Data_AnTuTu[[#This Row],[Device_Clean]], Tbl_Mapping[Device_Clean], Tbl_Mapping[True_CPU], "Tidak Ditemukan")</f>
        <v>A10 Fusion</v>
      </c>
      <c r="J142">
        <f>_xlfn.XLOOKUP(Data_AnTuTu[[#This Row],[CPU_Name_Bridge]], Data_CPU[CPU_Clean], Data_CPU[coreCount], "")</f>
        <v>4</v>
      </c>
    </row>
    <row r="143" spans="1:10" x14ac:dyDescent="0.3">
      <c r="A143" t="s">
        <v>679</v>
      </c>
      <c r="B143" t="s">
        <v>531</v>
      </c>
      <c r="C143">
        <v>116227</v>
      </c>
      <c r="D143">
        <v>99432</v>
      </c>
      <c r="E143">
        <v>64227</v>
      </c>
      <c r="F143">
        <v>105834</v>
      </c>
      <c r="G143" s="2">
        <v>385720</v>
      </c>
      <c r="H143" t="str">
        <f>IFERROR(TRIM(LEFT(Data_AnTuTu[[#This Row],[Device]], FIND("(",Data_AnTuTu[[#This Row],[Device]])-1)), TRIM(Data_AnTuTu[[#This Row],[Device]]))</f>
        <v>Redmi Note 11T Pro</v>
      </c>
      <c r="I143" t="str">
        <f>_xlfn.XLOOKUP(Data_AnTuTu[[#This Row],[Device_Clean]], Tbl_Mapping[Device_Clean], Tbl_Mapping[True_CPU], "Tidak Ditemukan")</f>
        <v>Snapdragon 695</v>
      </c>
      <c r="J143">
        <f>_xlfn.XLOOKUP(Data_AnTuTu[[#This Row],[CPU_Name_Bridge]], Data_CPU[CPU_Clean], Data_CPU[coreCount], "")</f>
        <v>8</v>
      </c>
    </row>
    <row r="144" spans="1:10" x14ac:dyDescent="0.3">
      <c r="A144" t="s">
        <v>680</v>
      </c>
      <c r="B144" t="s">
        <v>17</v>
      </c>
      <c r="C144">
        <v>111118</v>
      </c>
      <c r="D144">
        <v>126770</v>
      </c>
      <c r="E144">
        <v>61967</v>
      </c>
      <c r="F144">
        <v>80741</v>
      </c>
      <c r="G144" s="2">
        <v>380596</v>
      </c>
      <c r="H144" t="str">
        <f>IFERROR(TRIM(LEFT(Data_AnTuTu[[#This Row],[Device]], FIND("(",Data_AnTuTu[[#This Row],[Device]])-1)), TRIM(Data_AnTuTu[[#This Row],[Device]]))</f>
        <v>Galaxy Note 9</v>
      </c>
      <c r="I144" t="str">
        <f>_xlfn.XLOOKUP(Data_AnTuTu[[#This Row],[Device_Clean]], Tbl_Mapping[Device_Clean], Tbl_Mapping[True_CPU], "Tidak Ditemukan")</f>
        <v>Exynos 9810</v>
      </c>
      <c r="J144">
        <f>_xlfn.XLOOKUP(Data_AnTuTu[[#This Row],[CPU_Name_Bridge]], Data_CPU[CPU_Clean], Data_CPU[coreCount], "")</f>
        <v>8</v>
      </c>
    </row>
    <row r="145" spans="1:10" x14ac:dyDescent="0.3">
      <c r="A145" t="s">
        <v>681</v>
      </c>
      <c r="B145" t="s">
        <v>17</v>
      </c>
      <c r="C145">
        <v>109865</v>
      </c>
      <c r="D145">
        <v>125473</v>
      </c>
      <c r="E145">
        <v>60681</v>
      </c>
      <c r="F145">
        <v>79397</v>
      </c>
      <c r="G145" s="2">
        <v>375416</v>
      </c>
      <c r="H145" t="str">
        <f>IFERROR(TRIM(LEFT(Data_AnTuTu[[#This Row],[Device]], FIND("(",Data_AnTuTu[[#This Row],[Device]])-1)), TRIM(Data_AnTuTu[[#This Row],[Device]]))</f>
        <v>Galaxy S9+</v>
      </c>
      <c r="I145" t="str">
        <f>_xlfn.XLOOKUP(Data_AnTuTu[[#This Row],[Device_Clean]], Tbl_Mapping[Device_Clean], Tbl_Mapping[True_CPU], "Tidak Ditemukan")</f>
        <v>Exynos 9810</v>
      </c>
      <c r="J145">
        <f>_xlfn.XLOOKUP(Data_AnTuTu[[#This Row],[CPU_Name_Bridge]], Data_CPU[CPU_Clean], Data_CPU[coreCount], "")</f>
        <v>8</v>
      </c>
    </row>
    <row r="146" spans="1:10" x14ac:dyDescent="0.3">
      <c r="A146" t="s">
        <v>682</v>
      </c>
      <c r="B146" t="s">
        <v>588</v>
      </c>
      <c r="C146">
        <v>105973</v>
      </c>
      <c r="D146">
        <v>99357</v>
      </c>
      <c r="E146">
        <v>71838</v>
      </c>
      <c r="F146">
        <v>93973</v>
      </c>
      <c r="G146" s="2">
        <v>371140</v>
      </c>
      <c r="H146" t="str">
        <f>IFERROR(TRIM(LEFT(Data_AnTuTu[[#This Row],[Device]], FIND("(",Data_AnTuTu[[#This Row],[Device]])-1)), TRIM(Data_AnTuTu[[#This Row],[Device]]))</f>
        <v>HUAWEI nova 7i</v>
      </c>
      <c r="I146" t="str">
        <f>_xlfn.XLOOKUP(Data_AnTuTu[[#This Row],[Device_Clean]], Tbl_Mapping[Device_Clean], Tbl_Mapping[True_CPU], "Tidak Ditemukan")</f>
        <v>Kirin 810</v>
      </c>
      <c r="J146">
        <f>_xlfn.XLOOKUP(Data_AnTuTu[[#This Row],[CPU_Name_Bridge]], Data_CPU[CPU_Clean], Data_CPU[coreCount], "")</f>
        <v>8</v>
      </c>
    </row>
    <row r="147" spans="1:10" x14ac:dyDescent="0.3">
      <c r="A147" t="s">
        <v>683</v>
      </c>
      <c r="B147" t="s">
        <v>531</v>
      </c>
      <c r="C147">
        <v>103866</v>
      </c>
      <c r="D147">
        <v>97401</v>
      </c>
      <c r="E147">
        <v>59697</v>
      </c>
      <c r="F147">
        <v>98312</v>
      </c>
      <c r="G147" s="2">
        <v>359276</v>
      </c>
      <c r="H147" t="str">
        <f>IFERROR(TRIM(LEFT(Data_AnTuTu[[#This Row],[Device]], FIND("(",Data_AnTuTu[[#This Row],[Device]])-1)), TRIM(Data_AnTuTu[[#This Row],[Device]]))</f>
        <v>Mi 11 Lite 4G</v>
      </c>
      <c r="I147" t="str">
        <f>_xlfn.XLOOKUP(Data_AnTuTu[[#This Row],[Device_Clean]], Tbl_Mapping[Device_Clean], Tbl_Mapping[True_CPU], "Tidak Ditemukan")</f>
        <v>Snapdragon 730</v>
      </c>
      <c r="J147">
        <f>_xlfn.XLOOKUP(Data_AnTuTu[[#This Row],[CPU_Name_Bridge]], Data_CPU[CPU_Clean], Data_CPU[coreCount], "")</f>
        <v>8</v>
      </c>
    </row>
    <row r="148" spans="1:10" x14ac:dyDescent="0.3">
      <c r="A148" t="s">
        <v>684</v>
      </c>
      <c r="B148" t="s">
        <v>531</v>
      </c>
      <c r="C148">
        <v>105626</v>
      </c>
      <c r="D148">
        <v>86409</v>
      </c>
      <c r="E148">
        <v>69006</v>
      </c>
      <c r="F148">
        <v>97555</v>
      </c>
      <c r="G148" s="2">
        <v>358595</v>
      </c>
      <c r="H148" t="str">
        <f>IFERROR(TRIM(LEFT(Data_AnTuTu[[#This Row],[Device]], FIND("(",Data_AnTuTu[[#This Row],[Device]])-1)), TRIM(Data_AnTuTu[[#This Row],[Device]]))</f>
        <v>Poco M4 Pro 5G</v>
      </c>
      <c r="I148" t="str">
        <f>_xlfn.XLOOKUP(Data_AnTuTu[[#This Row],[Device_Clean]], Tbl_Mapping[Device_Clean], Tbl_Mapping[True_CPU], "Tidak Ditemukan")</f>
        <v>Dimensity 810</v>
      </c>
      <c r="J148">
        <f>_xlfn.XLOOKUP(Data_AnTuTu[[#This Row],[CPU_Name_Bridge]], Data_CPU[CPU_Clean], Data_CPU[coreCount], "")</f>
        <v>8</v>
      </c>
    </row>
    <row r="149" spans="1:10" x14ac:dyDescent="0.3">
      <c r="A149" t="s">
        <v>685</v>
      </c>
      <c r="B149" t="s">
        <v>7</v>
      </c>
      <c r="C149">
        <v>120494</v>
      </c>
      <c r="D149">
        <v>112571</v>
      </c>
      <c r="E149">
        <v>51717</v>
      </c>
      <c r="F149">
        <v>72958</v>
      </c>
      <c r="G149" s="2">
        <v>357740</v>
      </c>
      <c r="H149" t="str">
        <f>IFERROR(TRIM(LEFT(Data_AnTuTu[[#This Row],[Device]], FIND("(",Data_AnTuTu[[#This Row],[Device]])-1)), TRIM(Data_AnTuTu[[#This Row],[Device]]))</f>
        <v>iPhone 7 Plus</v>
      </c>
      <c r="I149" t="str">
        <f>_xlfn.XLOOKUP(Data_AnTuTu[[#This Row],[Device_Clean]], Tbl_Mapping[Device_Clean], Tbl_Mapping[True_CPU], "Tidak Ditemukan")</f>
        <v>A10 Fusion</v>
      </c>
      <c r="J149">
        <f>_xlfn.XLOOKUP(Data_AnTuTu[[#This Row],[CPU_Name_Bridge]], Data_CPU[CPU_Clean], Data_CPU[coreCount], "")</f>
        <v>4</v>
      </c>
    </row>
    <row r="150" spans="1:10" x14ac:dyDescent="0.3">
      <c r="A150" t="s">
        <v>686</v>
      </c>
      <c r="B150" t="s">
        <v>537</v>
      </c>
      <c r="C150">
        <v>95861</v>
      </c>
      <c r="D150">
        <v>102271</v>
      </c>
      <c r="E150">
        <v>62163</v>
      </c>
      <c r="F150">
        <v>96507</v>
      </c>
      <c r="G150" s="2">
        <v>356802</v>
      </c>
      <c r="H150" t="str">
        <f>IFERROR(TRIM(LEFT(Data_AnTuTu[[#This Row],[Device]], FIND("(",Data_AnTuTu[[#This Row],[Device]])-1)), TRIM(Data_AnTuTu[[#This Row],[Device]]))</f>
        <v>realme 8</v>
      </c>
      <c r="I150" t="str">
        <f>_xlfn.XLOOKUP(Data_AnTuTu[[#This Row],[Device_Clean]], Tbl_Mapping[Device_Clean], Tbl_Mapping[True_CPU], "Tidak Ditemukan")</f>
        <v>Helio G95</v>
      </c>
      <c r="J150">
        <f>_xlfn.XLOOKUP(Data_AnTuTu[[#This Row],[CPU_Name_Bridge]], Data_CPU[CPU_Clean], Data_CPU[coreCount], "")</f>
        <v>8</v>
      </c>
    </row>
    <row r="151" spans="1:10" x14ac:dyDescent="0.3">
      <c r="A151" t="s">
        <v>687</v>
      </c>
      <c r="B151" t="s">
        <v>531</v>
      </c>
      <c r="C151">
        <v>104244</v>
      </c>
      <c r="D151">
        <v>96002</v>
      </c>
      <c r="E151">
        <v>56815</v>
      </c>
      <c r="F151">
        <v>98560</v>
      </c>
      <c r="G151" s="2">
        <v>355620</v>
      </c>
      <c r="H151" t="str">
        <f>IFERROR(TRIM(LEFT(Data_AnTuTu[[#This Row],[Device]], FIND("(",Data_AnTuTu[[#This Row],[Device]])-1)), TRIM(Data_AnTuTu[[#This Row],[Device]]))</f>
        <v>Poco X3 NFC</v>
      </c>
      <c r="I151" t="str">
        <f>_xlfn.XLOOKUP(Data_AnTuTu[[#This Row],[Device_Clean]], Tbl_Mapping[Device_Clean], Tbl_Mapping[True_CPU], "Tidak Ditemukan")</f>
        <v>Snapdragon 730</v>
      </c>
      <c r="J151">
        <f>_xlfn.XLOOKUP(Data_AnTuTu[[#This Row],[CPU_Name_Bridge]], Data_CPU[CPU_Clean], Data_CPU[coreCount], "")</f>
        <v>8</v>
      </c>
    </row>
    <row r="152" spans="1:10" x14ac:dyDescent="0.3">
      <c r="A152" t="s">
        <v>688</v>
      </c>
      <c r="B152" t="s">
        <v>537</v>
      </c>
      <c r="C152">
        <v>97038</v>
      </c>
      <c r="D152">
        <v>102883</v>
      </c>
      <c r="E152">
        <v>56425</v>
      </c>
      <c r="F152">
        <v>98537</v>
      </c>
      <c r="G152" s="2">
        <v>354882</v>
      </c>
      <c r="H152" t="str">
        <f>IFERROR(TRIM(LEFT(Data_AnTuTu[[#This Row],[Device]], FIND("(",Data_AnTuTu[[#This Row],[Device]])-1)), TRIM(Data_AnTuTu[[#This Row],[Device]]))</f>
        <v>realme 7</v>
      </c>
      <c r="I152" t="str">
        <f>_xlfn.XLOOKUP(Data_AnTuTu[[#This Row],[Device_Clean]], Tbl_Mapping[Device_Clean], Tbl_Mapping[True_CPU], "Tidak Ditemukan")</f>
        <v>Helio G95</v>
      </c>
      <c r="J152">
        <f>_xlfn.XLOOKUP(Data_AnTuTu[[#This Row],[CPU_Name_Bridge]], Data_CPU[CPU_Clean], Data_CPU[coreCount], "")</f>
        <v>8</v>
      </c>
    </row>
    <row r="153" spans="1:10" x14ac:dyDescent="0.3">
      <c r="A153" t="s">
        <v>689</v>
      </c>
      <c r="B153" t="s">
        <v>537</v>
      </c>
      <c r="C153">
        <v>106728</v>
      </c>
      <c r="D153">
        <v>90601</v>
      </c>
      <c r="E153">
        <v>56223</v>
      </c>
      <c r="F153">
        <v>100255</v>
      </c>
      <c r="G153" s="2">
        <v>353807</v>
      </c>
      <c r="H153" t="str">
        <f>IFERROR(TRIM(LEFT(Data_AnTuTu[[#This Row],[Device]], FIND("(",Data_AnTuTu[[#This Row],[Device]])-1)), TRIM(Data_AnTuTu[[#This Row],[Device]]))</f>
        <v>realme 6 Pro</v>
      </c>
      <c r="I153" t="str">
        <f>_xlfn.XLOOKUP(Data_AnTuTu[[#This Row],[Device_Clean]], Tbl_Mapping[Device_Clean], Tbl_Mapping[True_CPU], "Tidak Ditemukan")</f>
        <v>Snapdragon 720G</v>
      </c>
      <c r="J153">
        <f>_xlfn.XLOOKUP(Data_AnTuTu[[#This Row],[CPU_Name_Bridge]], Data_CPU[CPU_Clean], Data_CPU[coreCount], "")</f>
        <v>8</v>
      </c>
    </row>
    <row r="154" spans="1:10" x14ac:dyDescent="0.3">
      <c r="A154" t="s">
        <v>690</v>
      </c>
      <c r="B154" t="s">
        <v>554</v>
      </c>
      <c r="C154">
        <v>109143</v>
      </c>
      <c r="D154">
        <v>89452</v>
      </c>
      <c r="E154">
        <v>59412</v>
      </c>
      <c r="F154">
        <v>94658</v>
      </c>
      <c r="G154" s="2">
        <v>352665</v>
      </c>
      <c r="H154" t="str">
        <f>IFERROR(TRIM(LEFT(Data_AnTuTu[[#This Row],[Device]], FIND("(",Data_AnTuTu[[#This Row],[Device]])-1)), TRIM(Data_AnTuTu[[#This Row],[Device]]))</f>
        <v>OPPO Reno5 4G</v>
      </c>
      <c r="I154" t="str">
        <f>_xlfn.XLOOKUP(Data_AnTuTu[[#This Row],[Device_Clean]], Tbl_Mapping[Device_Clean], Tbl_Mapping[True_CPU], "Tidak Ditemukan")</f>
        <v>Snapdragon 720G</v>
      </c>
      <c r="J154">
        <f>_xlfn.XLOOKUP(Data_AnTuTu[[#This Row],[CPU_Name_Bridge]], Data_CPU[CPU_Clean], Data_CPU[coreCount], "")</f>
        <v>8</v>
      </c>
    </row>
    <row r="155" spans="1:10" x14ac:dyDescent="0.3">
      <c r="A155" t="s">
        <v>691</v>
      </c>
      <c r="B155" t="s">
        <v>531</v>
      </c>
      <c r="C155">
        <v>102656</v>
      </c>
      <c r="D155">
        <v>96208</v>
      </c>
      <c r="E155">
        <v>56122</v>
      </c>
      <c r="F155">
        <v>97480</v>
      </c>
      <c r="G155" s="2">
        <v>352465</v>
      </c>
      <c r="H155" t="str">
        <f>IFERROR(TRIM(LEFT(Data_AnTuTu[[#This Row],[Device]], FIND("(",Data_AnTuTu[[#This Row],[Device]])-1)), TRIM(Data_AnTuTu[[#This Row],[Device]]))</f>
        <v>Poco X3</v>
      </c>
      <c r="I155" t="str">
        <f>_xlfn.XLOOKUP(Data_AnTuTu[[#This Row],[Device_Clean]], Tbl_Mapping[Device_Clean], Tbl_Mapping[True_CPU], "Tidak Ditemukan")</f>
        <v>Snapdragon 730</v>
      </c>
      <c r="J155">
        <f>_xlfn.XLOOKUP(Data_AnTuTu[[#This Row],[CPU_Name_Bridge]], Data_CPU[CPU_Clean], Data_CPU[coreCount], "")</f>
        <v>8</v>
      </c>
    </row>
    <row r="156" spans="1:10" x14ac:dyDescent="0.3">
      <c r="A156" t="s">
        <v>692</v>
      </c>
      <c r="B156" t="s">
        <v>537</v>
      </c>
      <c r="C156">
        <v>110133</v>
      </c>
      <c r="D156">
        <v>90181</v>
      </c>
      <c r="E156">
        <v>57847</v>
      </c>
      <c r="F156">
        <v>94018</v>
      </c>
      <c r="G156" s="2">
        <v>352179</v>
      </c>
      <c r="H156" t="str">
        <f>IFERROR(TRIM(LEFT(Data_AnTuTu[[#This Row],[Device]], FIND("(",Data_AnTuTu[[#This Row],[Device]])-1)), TRIM(Data_AnTuTu[[#This Row],[Device]]))</f>
        <v>realme 7 Pro</v>
      </c>
      <c r="I156" t="str">
        <f>_xlfn.XLOOKUP(Data_AnTuTu[[#This Row],[Device_Clean]], Tbl_Mapping[Device_Clean], Tbl_Mapping[True_CPU], "Tidak Ditemukan")</f>
        <v>Snapdragon 720G</v>
      </c>
      <c r="J156">
        <f>_xlfn.XLOOKUP(Data_AnTuTu[[#This Row],[CPU_Name_Bridge]], Data_CPU[CPU_Clean], Data_CPU[coreCount], "")</f>
        <v>8</v>
      </c>
    </row>
    <row r="157" spans="1:10" x14ac:dyDescent="0.3">
      <c r="A157" t="s">
        <v>693</v>
      </c>
      <c r="B157" t="s">
        <v>7</v>
      </c>
      <c r="C157">
        <v>119119</v>
      </c>
      <c r="D157">
        <v>110182</v>
      </c>
      <c r="E157">
        <v>51788</v>
      </c>
      <c r="F157">
        <v>70642</v>
      </c>
      <c r="G157" s="2">
        <v>351731</v>
      </c>
      <c r="H157" t="str">
        <f>IFERROR(TRIM(LEFT(Data_AnTuTu[[#This Row],[Device]], FIND("(",Data_AnTuTu[[#This Row],[Device]])-1)), TRIM(Data_AnTuTu[[#This Row],[Device]]))</f>
        <v>iPhone 7</v>
      </c>
      <c r="I157" t="str">
        <f>_xlfn.XLOOKUP(Data_AnTuTu[[#This Row],[Device_Clean]], Tbl_Mapping[Device_Clean], Tbl_Mapping[True_CPU], "Tidak Ditemukan")</f>
        <v>A10 Fusion</v>
      </c>
      <c r="J157">
        <f>_xlfn.XLOOKUP(Data_AnTuTu[[#This Row],[CPU_Name_Bridge]], Data_CPU[CPU_Clean], Data_CPU[coreCount], "")</f>
        <v>4</v>
      </c>
    </row>
    <row r="158" spans="1:10" x14ac:dyDescent="0.3">
      <c r="A158" t="s">
        <v>694</v>
      </c>
      <c r="B158" t="s">
        <v>531</v>
      </c>
      <c r="C158">
        <v>99723</v>
      </c>
      <c r="D158">
        <v>96005</v>
      </c>
      <c r="E158">
        <v>56476</v>
      </c>
      <c r="F158">
        <v>97556</v>
      </c>
      <c r="G158" s="2">
        <v>349760</v>
      </c>
      <c r="H158" t="str">
        <f>IFERROR(TRIM(LEFT(Data_AnTuTu[[#This Row],[Device]], FIND("(",Data_AnTuTu[[#This Row],[Device]])-1)), TRIM(Data_AnTuTu[[#This Row],[Device]]))</f>
        <v>Redmi Note 10 Pro</v>
      </c>
      <c r="I158" t="str">
        <f>_xlfn.XLOOKUP(Data_AnTuTu[[#This Row],[Device_Clean]], Tbl_Mapping[Device_Clean], Tbl_Mapping[True_CPU], "Tidak Ditemukan")</f>
        <v>Snapdragon 730</v>
      </c>
      <c r="J158">
        <f>_xlfn.XLOOKUP(Data_AnTuTu[[#This Row],[CPU_Name_Bridge]], Data_CPU[CPU_Clean], Data_CPU[coreCount], "")</f>
        <v>8</v>
      </c>
    </row>
    <row r="159" spans="1:10" x14ac:dyDescent="0.3">
      <c r="A159" t="s">
        <v>695</v>
      </c>
      <c r="B159" t="s">
        <v>17</v>
      </c>
      <c r="C159">
        <v>105893</v>
      </c>
      <c r="D159">
        <v>89194</v>
      </c>
      <c r="E159">
        <v>58339</v>
      </c>
      <c r="F159">
        <v>95112</v>
      </c>
      <c r="G159" s="2">
        <v>348537</v>
      </c>
      <c r="H159" t="str">
        <f>IFERROR(TRIM(LEFT(Data_AnTuTu[[#This Row],[Device]], FIND("(",Data_AnTuTu[[#This Row],[Device]])-1)), TRIM(Data_AnTuTu[[#This Row],[Device]]))</f>
        <v>Galaxy A52</v>
      </c>
      <c r="I159" t="str">
        <f>_xlfn.XLOOKUP(Data_AnTuTu[[#This Row],[Device_Clean]], Tbl_Mapping[Device_Clean], Tbl_Mapping[True_CPU], "Tidak Ditemukan")</f>
        <v>Snapdragon 720G</v>
      </c>
      <c r="J159">
        <f>_xlfn.XLOOKUP(Data_AnTuTu[[#This Row],[CPU_Name_Bridge]], Data_CPU[CPU_Clean], Data_CPU[coreCount], "")</f>
        <v>8</v>
      </c>
    </row>
    <row r="160" spans="1:10" x14ac:dyDescent="0.3">
      <c r="A160" t="s">
        <v>696</v>
      </c>
      <c r="B160" t="s">
        <v>531</v>
      </c>
      <c r="C160">
        <v>107755</v>
      </c>
      <c r="D160">
        <v>89956</v>
      </c>
      <c r="E160">
        <v>56091</v>
      </c>
      <c r="F160">
        <v>89848</v>
      </c>
      <c r="G160" s="2">
        <v>343649</v>
      </c>
      <c r="H160" t="str">
        <f>IFERROR(TRIM(LEFT(Data_AnTuTu[[#This Row],[Device]], FIND("(",Data_AnTuTu[[#This Row],[Device]])-1)), TRIM(Data_AnTuTu[[#This Row],[Device]]))</f>
        <v>Redmi Note 9 Pro</v>
      </c>
      <c r="I160" t="str">
        <f>_xlfn.XLOOKUP(Data_AnTuTu[[#This Row],[Device_Clean]], Tbl_Mapping[Device_Clean], Tbl_Mapping[True_CPU], "Tidak Ditemukan")</f>
        <v>Snapdragon 720G</v>
      </c>
      <c r="J160">
        <f>_xlfn.XLOOKUP(Data_AnTuTu[[#This Row],[CPU_Name_Bridge]], Data_CPU[CPU_Clean], Data_CPU[coreCount], "")</f>
        <v>8</v>
      </c>
    </row>
    <row r="161" spans="1:10" x14ac:dyDescent="0.3">
      <c r="A161" t="s">
        <v>697</v>
      </c>
      <c r="B161" t="s">
        <v>531</v>
      </c>
      <c r="C161">
        <v>107650</v>
      </c>
      <c r="D161">
        <v>90049</v>
      </c>
      <c r="E161">
        <v>55633</v>
      </c>
      <c r="F161">
        <v>89985</v>
      </c>
      <c r="G161" s="2">
        <v>343317</v>
      </c>
      <c r="H161" t="str">
        <f>IFERROR(TRIM(LEFT(Data_AnTuTu[[#This Row],[Device]], FIND("(",Data_AnTuTu[[#This Row],[Device]])-1)), TRIM(Data_AnTuTu[[#This Row],[Device]]))</f>
        <v>Redmi Note 9S</v>
      </c>
      <c r="I161" t="str">
        <f>_xlfn.XLOOKUP(Data_AnTuTu[[#This Row],[Device_Clean]], Tbl_Mapping[Device_Clean], Tbl_Mapping[True_CPU], "Tidak Ditemukan")</f>
        <v>Snapdragon 720G</v>
      </c>
      <c r="J161">
        <f>_xlfn.XLOOKUP(Data_AnTuTu[[#This Row],[CPU_Name_Bridge]], Data_CPU[CPU_Clean], Data_CPU[coreCount], "")</f>
        <v>8</v>
      </c>
    </row>
    <row r="162" spans="1:10" x14ac:dyDescent="0.3">
      <c r="A162" t="s">
        <v>698</v>
      </c>
      <c r="B162" t="s">
        <v>531</v>
      </c>
      <c r="C162">
        <v>103517</v>
      </c>
      <c r="D162">
        <v>90972</v>
      </c>
      <c r="E162">
        <v>56063</v>
      </c>
      <c r="F162">
        <v>92392</v>
      </c>
      <c r="G162" s="2">
        <v>342944</v>
      </c>
      <c r="H162" t="str">
        <f>IFERROR(TRIM(LEFT(Data_AnTuTu[[#This Row],[Device]], FIND("(",Data_AnTuTu[[#This Row],[Device]])-1)), TRIM(Data_AnTuTu[[#This Row],[Device]]))</f>
        <v>Mi Note 10 Lite</v>
      </c>
      <c r="I162" t="str">
        <f>_xlfn.XLOOKUP(Data_AnTuTu[[#This Row],[Device_Clean]], Tbl_Mapping[Device_Clean], Tbl_Mapping[True_CPU], "Tidak Ditemukan")</f>
        <v>Snapdragon 730</v>
      </c>
      <c r="J162">
        <f>_xlfn.XLOOKUP(Data_AnTuTu[[#This Row],[CPU_Name_Bridge]], Data_CPU[CPU_Clean], Data_CPU[coreCount], "")</f>
        <v>8</v>
      </c>
    </row>
    <row r="163" spans="1:10" x14ac:dyDescent="0.3">
      <c r="A163" t="s">
        <v>699</v>
      </c>
      <c r="B163" t="s">
        <v>531</v>
      </c>
      <c r="C163">
        <v>100039</v>
      </c>
      <c r="D163">
        <v>81106</v>
      </c>
      <c r="E163">
        <v>68466</v>
      </c>
      <c r="F163">
        <v>93234</v>
      </c>
      <c r="G163" s="2">
        <v>342845</v>
      </c>
      <c r="H163" t="str">
        <f>IFERROR(TRIM(LEFT(Data_AnTuTu[[#This Row],[Device]], FIND("(",Data_AnTuTu[[#This Row],[Device]])-1)), TRIM(Data_AnTuTu[[#This Row],[Device]]))</f>
        <v>Redmi Note 10 5G</v>
      </c>
      <c r="I163" t="str">
        <f>_xlfn.XLOOKUP(Data_AnTuTu[[#This Row],[Device_Clean]], Tbl_Mapping[Device_Clean], Tbl_Mapping[True_CPU], "Tidak Ditemukan")</f>
        <v>Dimensity 700</v>
      </c>
      <c r="J163">
        <f>_xlfn.XLOOKUP(Data_AnTuTu[[#This Row],[CPU_Name_Bridge]], Data_CPU[CPU_Clean], Data_CPU[coreCount], "")</f>
        <v>8</v>
      </c>
    </row>
    <row r="164" spans="1:10" x14ac:dyDescent="0.3">
      <c r="A164" t="s">
        <v>700</v>
      </c>
      <c r="B164" t="s">
        <v>531</v>
      </c>
      <c r="C164">
        <v>96461</v>
      </c>
      <c r="D164">
        <v>95112</v>
      </c>
      <c r="E164">
        <v>55563</v>
      </c>
      <c r="F164">
        <v>94348</v>
      </c>
      <c r="G164" s="2">
        <v>341482</v>
      </c>
      <c r="H164" t="str">
        <f>IFERROR(TRIM(LEFT(Data_AnTuTu[[#This Row],[Device]], FIND("(",Data_AnTuTu[[#This Row],[Device]])-1)), TRIM(Data_AnTuTu[[#This Row],[Device]]))</f>
        <v>Redmi Note 10 Pro Max</v>
      </c>
      <c r="I164" t="str">
        <f>_xlfn.XLOOKUP(Data_AnTuTu[[#This Row],[Device_Clean]], Tbl_Mapping[Device_Clean], Tbl_Mapping[True_CPU], "Tidak Ditemukan")</f>
        <v>Snapdragon 730</v>
      </c>
      <c r="J164">
        <f>_xlfn.XLOOKUP(Data_AnTuTu[[#This Row],[CPU_Name_Bridge]], Data_CPU[CPU_Clean], Data_CPU[coreCount], "")</f>
        <v>8</v>
      </c>
    </row>
    <row r="165" spans="1:10" x14ac:dyDescent="0.3">
      <c r="A165" t="s">
        <v>701</v>
      </c>
      <c r="B165" t="s">
        <v>531</v>
      </c>
      <c r="C165">
        <v>99407</v>
      </c>
      <c r="D165">
        <v>80009</v>
      </c>
      <c r="E165">
        <v>67644</v>
      </c>
      <c r="F165">
        <v>93096</v>
      </c>
      <c r="G165" s="2">
        <v>340155</v>
      </c>
      <c r="H165" t="str">
        <f>IFERROR(TRIM(LEFT(Data_AnTuTu[[#This Row],[Device]], FIND("(",Data_AnTuTu[[#This Row],[Device]])-1)), TRIM(Data_AnTuTu[[#This Row],[Device]]))</f>
        <v>Poco M3 Pro 5G</v>
      </c>
      <c r="I165" t="str">
        <f>_xlfn.XLOOKUP(Data_AnTuTu[[#This Row],[Device_Clean]], Tbl_Mapping[Device_Clean], Tbl_Mapping[True_CPU], "Tidak Ditemukan")</f>
        <v>Dimensity 700</v>
      </c>
      <c r="J165">
        <f>_xlfn.XLOOKUP(Data_AnTuTu[[#This Row],[CPU_Name_Bridge]], Data_CPU[CPU_Clean], Data_CPU[coreCount], "")</f>
        <v>8</v>
      </c>
    </row>
    <row r="166" spans="1:10" x14ac:dyDescent="0.3">
      <c r="A166" t="s">
        <v>702</v>
      </c>
      <c r="B166" t="s">
        <v>531</v>
      </c>
      <c r="C166">
        <v>104133</v>
      </c>
      <c r="D166">
        <v>83652</v>
      </c>
      <c r="E166">
        <v>54486</v>
      </c>
      <c r="F166">
        <v>88646</v>
      </c>
      <c r="G166" s="2">
        <v>330916</v>
      </c>
      <c r="H166" t="str">
        <f>IFERROR(TRIM(LEFT(Data_AnTuTu[[#This Row],[Device]], FIND("(",Data_AnTuTu[[#This Row],[Device]])-1)), TRIM(Data_AnTuTu[[#This Row],[Device]]))</f>
        <v>Mi 9T</v>
      </c>
      <c r="I166" t="str">
        <f>_xlfn.XLOOKUP(Data_AnTuTu[[#This Row],[Device_Clean]], Tbl_Mapping[Device_Clean], Tbl_Mapping[True_CPU], "Tidak Ditemukan")</f>
        <v>Snapdragon 730</v>
      </c>
      <c r="J166">
        <f>_xlfn.XLOOKUP(Data_AnTuTu[[#This Row],[CPU_Name_Bridge]], Data_CPU[CPU_Clean], Data_CPU[coreCount], "")</f>
        <v>8</v>
      </c>
    </row>
    <row r="167" spans="1:10" x14ac:dyDescent="0.3">
      <c r="A167" t="s">
        <v>703</v>
      </c>
      <c r="B167" t="s">
        <v>17</v>
      </c>
      <c r="C167">
        <v>101433</v>
      </c>
      <c r="D167">
        <v>88832</v>
      </c>
      <c r="E167">
        <v>52846</v>
      </c>
      <c r="F167">
        <v>86607</v>
      </c>
      <c r="G167" s="2">
        <v>329717</v>
      </c>
      <c r="H167" t="str">
        <f>IFERROR(TRIM(LEFT(Data_AnTuTu[[#This Row],[Device]], FIND("(",Data_AnTuTu[[#This Row],[Device]])-1)), TRIM(Data_AnTuTu[[#This Row],[Device]]))</f>
        <v>Galaxy A71</v>
      </c>
      <c r="I167" t="str">
        <f>_xlfn.XLOOKUP(Data_AnTuTu[[#This Row],[Device_Clean]], Tbl_Mapping[Device_Clean], Tbl_Mapping[True_CPU], "Tidak Ditemukan")</f>
        <v>Snapdragon 730</v>
      </c>
      <c r="J167">
        <f>_xlfn.XLOOKUP(Data_AnTuTu[[#This Row],[CPU_Name_Bridge]], Data_CPU[CPU_Clean], Data_CPU[coreCount], "")</f>
        <v>8</v>
      </c>
    </row>
    <row r="168" spans="1:10" x14ac:dyDescent="0.3">
      <c r="A168" t="s">
        <v>704</v>
      </c>
      <c r="B168" t="s">
        <v>531</v>
      </c>
      <c r="C168">
        <v>90576</v>
      </c>
      <c r="D168">
        <v>91201</v>
      </c>
      <c r="E168">
        <v>55996</v>
      </c>
      <c r="F168">
        <v>85992</v>
      </c>
      <c r="G168" s="2">
        <v>323765</v>
      </c>
      <c r="H168" t="str">
        <f>IFERROR(TRIM(LEFT(Data_AnTuTu[[#This Row],[Device]], FIND("(",Data_AnTuTu[[#This Row],[Device]])-1)), TRIM(Data_AnTuTu[[#This Row],[Device]]))</f>
        <v>Redmi Note 8 Pro</v>
      </c>
      <c r="I168" t="str">
        <f>_xlfn.XLOOKUP(Data_AnTuTu[[#This Row],[Device_Clean]], Tbl_Mapping[Device_Clean], Tbl_Mapping[True_CPU], "Tidak Ditemukan")</f>
        <v>Helio G90T</v>
      </c>
      <c r="J168">
        <f>_xlfn.XLOOKUP(Data_AnTuTu[[#This Row],[CPU_Name_Bridge]], Data_CPU[CPU_Clean], Data_CPU[coreCount], "")</f>
        <v>8</v>
      </c>
    </row>
    <row r="169" spans="1:10" x14ac:dyDescent="0.3">
      <c r="A169" t="s">
        <v>705</v>
      </c>
      <c r="B169" t="s">
        <v>531</v>
      </c>
      <c r="C169">
        <v>86090</v>
      </c>
      <c r="D169">
        <v>80697</v>
      </c>
      <c r="E169">
        <v>62086</v>
      </c>
      <c r="F169">
        <v>93918</v>
      </c>
      <c r="G169" s="2">
        <v>322791</v>
      </c>
      <c r="H169" t="str">
        <f>IFERROR(TRIM(LEFT(Data_AnTuTu[[#This Row],[Device]], FIND("(",Data_AnTuTu[[#This Row],[Device]])-1)), TRIM(Data_AnTuTu[[#This Row],[Device]]))</f>
        <v>Redmi Note 11 Pro 4G</v>
      </c>
      <c r="I169" t="str">
        <f>_xlfn.XLOOKUP(Data_AnTuTu[[#This Row],[Device_Clean]], Tbl_Mapping[Device_Clean], Tbl_Mapping[True_CPU], "Tidak Ditemukan")</f>
        <v>Helio G96</v>
      </c>
      <c r="J169">
        <f>_xlfn.XLOOKUP(Data_AnTuTu[[#This Row],[CPU_Name_Bridge]], Data_CPU[CPU_Clean], Data_CPU[coreCount], "")</f>
        <v>8</v>
      </c>
    </row>
    <row r="170" spans="1:10" x14ac:dyDescent="0.3">
      <c r="A170" t="s">
        <v>706</v>
      </c>
      <c r="B170" t="s">
        <v>531</v>
      </c>
      <c r="C170">
        <v>91318</v>
      </c>
      <c r="D170">
        <v>79595</v>
      </c>
      <c r="E170">
        <v>58406</v>
      </c>
      <c r="F170">
        <v>83781</v>
      </c>
      <c r="G170" s="2">
        <v>313100</v>
      </c>
      <c r="H170" t="str">
        <f>IFERROR(TRIM(LEFT(Data_AnTuTu[[#This Row],[Device]], FIND("(",Data_AnTuTu[[#This Row],[Device]])-1)), TRIM(Data_AnTuTu[[#This Row],[Device]]))</f>
        <v>Poco M4 Pro 4G</v>
      </c>
      <c r="I170" t="str">
        <f>_xlfn.XLOOKUP(Data_AnTuTu[[#This Row],[Device_Clean]], Tbl_Mapping[Device_Clean], Tbl_Mapping[True_CPU], "Tidak Ditemukan")</f>
        <v>Helio G96</v>
      </c>
      <c r="J170">
        <f>_xlfn.XLOOKUP(Data_AnTuTu[[#This Row],[CPU_Name_Bridge]], Data_CPU[CPU_Clean], Data_CPU[coreCount], "")</f>
        <v>8</v>
      </c>
    </row>
    <row r="171" spans="1:10" x14ac:dyDescent="0.3">
      <c r="A171" t="s">
        <v>707</v>
      </c>
      <c r="B171" t="s">
        <v>7</v>
      </c>
      <c r="C171">
        <v>93094</v>
      </c>
      <c r="D171">
        <v>83867</v>
      </c>
      <c r="E171">
        <v>44202</v>
      </c>
      <c r="F171">
        <v>52768</v>
      </c>
      <c r="G171" s="2">
        <v>273931</v>
      </c>
      <c r="H171" t="str">
        <f>IFERROR(TRIM(LEFT(Data_AnTuTu[[#This Row],[Device]], FIND("(",Data_AnTuTu[[#This Row],[Device]])-1)), TRIM(Data_AnTuTu[[#This Row],[Device]]))</f>
        <v>iPhone SE</v>
      </c>
      <c r="I171" t="str">
        <f>_xlfn.XLOOKUP(Data_AnTuTu[[#This Row],[Device_Clean]], Tbl_Mapping[Device_Clean], Tbl_Mapping[True_CPU], "Tidak Ditemukan")</f>
        <v>A13 Bionic</v>
      </c>
      <c r="J171">
        <f>_xlfn.XLOOKUP(Data_AnTuTu[[#This Row],[CPU_Name_Bridge]], Data_CPU[CPU_Clean], Data_CPU[coreCount], "")</f>
        <v>6</v>
      </c>
    </row>
    <row r="172" spans="1:10" x14ac:dyDescent="0.3">
      <c r="A172" t="s">
        <v>708</v>
      </c>
      <c r="B172" t="s">
        <v>7</v>
      </c>
      <c r="C172">
        <v>92074</v>
      </c>
      <c r="D172">
        <v>82336</v>
      </c>
      <c r="E172">
        <v>40993</v>
      </c>
      <c r="F172">
        <v>54797</v>
      </c>
      <c r="G172" s="2">
        <v>270200</v>
      </c>
      <c r="H172" t="str">
        <f>IFERROR(TRIM(LEFT(Data_AnTuTu[[#This Row],[Device]], FIND("(",Data_AnTuTu[[#This Row],[Device]])-1)), TRIM(Data_AnTuTu[[#This Row],[Device]]))</f>
        <v>iPhone 6s Plus</v>
      </c>
      <c r="I172" t="str">
        <f>_xlfn.XLOOKUP(Data_AnTuTu[[#This Row],[Device_Clean]], Tbl_Mapping[Device_Clean], Tbl_Mapping[True_CPU], "Tidak Ditemukan")</f>
        <v>Apple A9</v>
      </c>
      <c r="J172">
        <f>_xlfn.XLOOKUP(Data_AnTuTu[[#This Row],[CPU_Name_Bridge]], Data_CPU[CPU_Clean], Data_CPU[coreCount], "")</f>
        <v>2</v>
      </c>
    </row>
    <row r="173" spans="1:10" x14ac:dyDescent="0.3">
      <c r="A173" t="s">
        <v>709</v>
      </c>
      <c r="B173" t="s">
        <v>17</v>
      </c>
      <c r="C173">
        <v>93196</v>
      </c>
      <c r="D173">
        <v>50716</v>
      </c>
      <c r="E173">
        <v>48215</v>
      </c>
      <c r="F173">
        <v>76620</v>
      </c>
      <c r="G173" s="2">
        <v>268746</v>
      </c>
      <c r="H173" t="str">
        <f>IFERROR(TRIM(LEFT(Data_AnTuTu[[#This Row],[Device]], FIND("(",Data_AnTuTu[[#This Row],[Device]])-1)), TRIM(Data_AnTuTu[[#This Row],[Device]]))</f>
        <v>Galaxy A70</v>
      </c>
      <c r="I173" t="str">
        <f>_xlfn.XLOOKUP(Data_AnTuTu[[#This Row],[Device_Clean]], Tbl_Mapping[Device_Clean], Tbl_Mapping[True_CPU], "Tidak Ditemukan")</f>
        <v>Snapdragon 675</v>
      </c>
      <c r="J173">
        <f>_xlfn.XLOOKUP(Data_AnTuTu[[#This Row],[CPU_Name_Bridge]], Data_CPU[CPU_Clean], Data_CPU[coreCount], "")</f>
        <v>8</v>
      </c>
    </row>
    <row r="174" spans="1:10" x14ac:dyDescent="0.3">
      <c r="A174" t="s">
        <v>710</v>
      </c>
      <c r="B174" t="s">
        <v>7</v>
      </c>
      <c r="C174">
        <v>91948</v>
      </c>
      <c r="D174">
        <v>81800</v>
      </c>
      <c r="E174">
        <v>40047</v>
      </c>
      <c r="F174">
        <v>53217</v>
      </c>
      <c r="G174" s="2">
        <v>267012</v>
      </c>
      <c r="H174" t="str">
        <f>IFERROR(TRIM(LEFT(Data_AnTuTu[[#This Row],[Device]], FIND("(",Data_AnTuTu[[#This Row],[Device]])-1)), TRIM(Data_AnTuTu[[#This Row],[Device]]))</f>
        <v>iPhone 6s</v>
      </c>
      <c r="I174" t="str">
        <f>_xlfn.XLOOKUP(Data_AnTuTu[[#This Row],[Device_Clean]], Tbl_Mapping[Device_Clean], Tbl_Mapping[True_CPU], "Tidak Ditemukan")</f>
        <v>Apple A9</v>
      </c>
      <c r="J174">
        <f>_xlfn.XLOOKUP(Data_AnTuTu[[#This Row],[CPU_Name_Bridge]], Data_CPU[CPU_Clean], Data_CPU[coreCount], "")</f>
        <v>2</v>
      </c>
    </row>
    <row r="175" spans="1:10" x14ac:dyDescent="0.3">
      <c r="A175" t="s">
        <v>711</v>
      </c>
      <c r="B175" t="s">
        <v>531</v>
      </c>
      <c r="C175">
        <v>77433</v>
      </c>
      <c r="D175">
        <v>49783</v>
      </c>
      <c r="E175">
        <v>66281</v>
      </c>
      <c r="F175">
        <v>71080</v>
      </c>
      <c r="G175" s="2">
        <v>264577</v>
      </c>
      <c r="H175" t="str">
        <f>IFERROR(TRIM(LEFT(Data_AnTuTu[[#This Row],[Device]], FIND("(",Data_AnTuTu[[#This Row],[Device]])-1)), TRIM(Data_AnTuTu[[#This Row],[Device]]))</f>
        <v>Redmi Note 11</v>
      </c>
      <c r="I175" t="str">
        <f>_xlfn.XLOOKUP(Data_AnTuTu[[#This Row],[Device_Clean]], Tbl_Mapping[Device_Clean], Tbl_Mapping[True_CPU], "Tidak Ditemukan")</f>
        <v>Snapdragon 680</v>
      </c>
      <c r="J175">
        <f>_xlfn.XLOOKUP(Data_AnTuTu[[#This Row],[CPU_Name_Bridge]], Data_CPU[CPU_Clean], Data_CPU[coreCount], "")</f>
        <v>8</v>
      </c>
    </row>
    <row r="176" spans="1:10" x14ac:dyDescent="0.3">
      <c r="A176" t="s">
        <v>712</v>
      </c>
      <c r="B176" t="s">
        <v>713</v>
      </c>
      <c r="C176">
        <v>67728</v>
      </c>
      <c r="D176">
        <v>61200</v>
      </c>
      <c r="E176">
        <v>44181</v>
      </c>
      <c r="F176">
        <v>82926</v>
      </c>
      <c r="G176" s="2">
        <v>256035</v>
      </c>
      <c r="H176" t="str">
        <f>IFERROR(TRIM(LEFT(Data_AnTuTu[[#This Row],[Device]], FIND("(",Data_AnTuTu[[#This Row],[Device]])-1)), TRIM(Data_AnTuTu[[#This Row],[Device]]))</f>
        <v>Infinix Hot 11S</v>
      </c>
      <c r="I176" t="str">
        <f>_xlfn.XLOOKUP(Data_AnTuTu[[#This Row],[Device_Clean]], Tbl_Mapping[Device_Clean], Tbl_Mapping[True_CPU], "Tidak Ditemukan")</f>
        <v>Helio G88</v>
      </c>
      <c r="J176">
        <f>_xlfn.XLOOKUP(Data_AnTuTu[[#This Row],[CPU_Name_Bridge]], Data_CPU[CPU_Clean], Data_CPU[coreCount], "")</f>
        <v>8</v>
      </c>
    </row>
    <row r="177" spans="1:10" x14ac:dyDescent="0.3">
      <c r="A177" t="s">
        <v>714</v>
      </c>
      <c r="B177" t="s">
        <v>531</v>
      </c>
      <c r="C177">
        <v>62902</v>
      </c>
      <c r="D177">
        <v>58096</v>
      </c>
      <c r="E177">
        <v>41767</v>
      </c>
      <c r="F177">
        <v>80297</v>
      </c>
      <c r="G177" s="2">
        <v>243061</v>
      </c>
      <c r="H177" t="str">
        <f>IFERROR(TRIM(LEFT(Data_AnTuTu[[#This Row],[Device]], FIND("(",Data_AnTuTu[[#This Row],[Device]])-1)), TRIM(Data_AnTuTu[[#This Row],[Device]]))</f>
        <v>Redmi 10</v>
      </c>
      <c r="I177" t="str">
        <f>_xlfn.XLOOKUP(Data_AnTuTu[[#This Row],[Device_Clean]], Tbl_Mapping[Device_Clean], Tbl_Mapping[True_CPU], "Tidak Ditemukan")</f>
        <v>Helio G88</v>
      </c>
      <c r="J177">
        <f>_xlfn.XLOOKUP(Data_AnTuTu[[#This Row],[CPU_Name_Bridge]], Data_CPU[CPU_Clean], Data_CPU[coreCount], "")</f>
        <v>8</v>
      </c>
    </row>
    <row r="178" spans="1:10" x14ac:dyDescent="0.3">
      <c r="A178" t="s">
        <v>715</v>
      </c>
      <c r="B178" t="s">
        <v>17</v>
      </c>
      <c r="C178">
        <v>55203</v>
      </c>
      <c r="D178">
        <v>62849</v>
      </c>
      <c r="E178">
        <v>45941</v>
      </c>
      <c r="F178">
        <v>67989</v>
      </c>
      <c r="G178" s="2">
        <v>231982</v>
      </c>
      <c r="H178" t="str">
        <f>IFERROR(TRIM(LEFT(Data_AnTuTu[[#This Row],[Device]], FIND("(",Data_AnTuTu[[#This Row],[Device]])-1)), TRIM(Data_AnTuTu[[#This Row],[Device]]))</f>
        <v>Galaxy A51</v>
      </c>
      <c r="I178" t="str">
        <f>_xlfn.XLOOKUP(Data_AnTuTu[[#This Row],[Device_Clean]], Tbl_Mapping[Device_Clean], Tbl_Mapping[True_CPU], "Tidak Ditemukan")</f>
        <v>Exynos 9611</v>
      </c>
      <c r="J178">
        <f>_xlfn.XLOOKUP(Data_AnTuTu[[#This Row],[CPU_Name_Bridge]], Data_CPU[CPU_Clean], Data_CPU[coreCount], "")</f>
        <v>8</v>
      </c>
    </row>
    <row r="179" spans="1:10" x14ac:dyDescent="0.3">
      <c r="A179" t="s">
        <v>716</v>
      </c>
      <c r="B179" t="s">
        <v>17</v>
      </c>
      <c r="C179">
        <v>55772</v>
      </c>
      <c r="D179">
        <v>61407</v>
      </c>
      <c r="E179">
        <v>46470</v>
      </c>
      <c r="F179">
        <v>67868</v>
      </c>
      <c r="G179" s="2">
        <v>231515</v>
      </c>
      <c r="H179" t="str">
        <f>IFERROR(TRIM(LEFT(Data_AnTuTu[[#This Row],[Device]], FIND("(",Data_AnTuTu[[#This Row],[Device]])-1)), TRIM(Data_AnTuTu[[#This Row],[Device]]))</f>
        <v>Galaxy M31</v>
      </c>
      <c r="I179" t="str">
        <f>_xlfn.XLOOKUP(Data_AnTuTu[[#This Row],[Device_Clean]], Tbl_Mapping[Device_Clean], Tbl_Mapping[True_CPU], "Tidak Ditemukan")</f>
        <v>Exynos 9611</v>
      </c>
      <c r="J179">
        <f>_xlfn.XLOOKUP(Data_AnTuTu[[#This Row],[CPU_Name_Bridge]], Data_CPU[CPU_Clean], Data_CPU[coreCount], "")</f>
        <v>8</v>
      </c>
    </row>
    <row r="180" spans="1:10" x14ac:dyDescent="0.3">
      <c r="A180" t="s">
        <v>717</v>
      </c>
      <c r="B180" t="s">
        <v>17</v>
      </c>
      <c r="C180">
        <v>65016</v>
      </c>
      <c r="D180">
        <v>54205</v>
      </c>
      <c r="E180">
        <v>39208</v>
      </c>
      <c r="F180">
        <v>66668</v>
      </c>
      <c r="G180" s="2">
        <v>225097</v>
      </c>
      <c r="H180" t="str">
        <f>IFERROR(TRIM(LEFT(Data_AnTuTu[[#This Row],[Device]], FIND("(",Data_AnTuTu[[#This Row],[Device]])-1)), TRIM(Data_AnTuTu[[#This Row],[Device]]))</f>
        <v>Galaxy A32 4G</v>
      </c>
      <c r="I180" t="str">
        <f>_xlfn.XLOOKUP(Data_AnTuTu[[#This Row],[Device_Clean]], Tbl_Mapping[Device_Clean], Tbl_Mapping[True_CPU], "Tidak Ditemukan")</f>
        <v>Helio G80</v>
      </c>
      <c r="J180">
        <f>_xlfn.XLOOKUP(Data_AnTuTu[[#This Row],[CPU_Name_Bridge]], Data_CPU[CPU_Clean], Data_CPU[coreCount], "")</f>
        <v>8</v>
      </c>
    </row>
  </sheetData>
  <mergeCells count="1">
    <mergeCell ref="L1:M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CAFF8-D93A-402F-934D-FAE0B08B496A}">
  <dimension ref="A1:B173"/>
  <sheetViews>
    <sheetView workbookViewId="0">
      <selection activeCell="A2" sqref="A2"/>
    </sheetView>
  </sheetViews>
  <sheetFormatPr defaultRowHeight="14.4" x14ac:dyDescent="0.3"/>
  <cols>
    <col min="1" max="1" width="23.109375" bestFit="1" customWidth="1"/>
    <col min="2" max="2" width="19.6640625" bestFit="1" customWidth="1"/>
  </cols>
  <sheetData>
    <row r="1" spans="1:2" x14ac:dyDescent="0.3">
      <c r="A1" t="s">
        <v>520</v>
      </c>
      <c r="B1" t="s">
        <v>718</v>
      </c>
    </row>
    <row r="2" spans="1:2" x14ac:dyDescent="0.3">
      <c r="A2" t="s">
        <v>719</v>
      </c>
      <c r="B2" t="s">
        <v>720</v>
      </c>
    </row>
    <row r="3" spans="1:2" x14ac:dyDescent="0.3">
      <c r="A3" t="s">
        <v>721</v>
      </c>
      <c r="B3" t="s">
        <v>720</v>
      </c>
    </row>
    <row r="4" spans="1:2" x14ac:dyDescent="0.3">
      <c r="A4" t="s">
        <v>722</v>
      </c>
      <c r="B4" t="s">
        <v>22</v>
      </c>
    </row>
    <row r="5" spans="1:2" x14ac:dyDescent="0.3">
      <c r="A5" t="s">
        <v>723</v>
      </c>
      <c r="B5" t="s">
        <v>15</v>
      </c>
    </row>
    <row r="6" spans="1:2" x14ac:dyDescent="0.3">
      <c r="A6" t="s">
        <v>724</v>
      </c>
      <c r="B6" t="s">
        <v>22</v>
      </c>
    </row>
    <row r="7" spans="1:2" x14ac:dyDescent="0.3">
      <c r="A7" t="s">
        <v>725</v>
      </c>
      <c r="B7" t="s">
        <v>22</v>
      </c>
    </row>
    <row r="8" spans="1:2" x14ac:dyDescent="0.3">
      <c r="A8" t="s">
        <v>726</v>
      </c>
      <c r="B8" t="s">
        <v>727</v>
      </c>
    </row>
    <row r="9" spans="1:2" x14ac:dyDescent="0.3">
      <c r="A9" t="s">
        <v>728</v>
      </c>
      <c r="B9" t="s">
        <v>22</v>
      </c>
    </row>
    <row r="10" spans="1:2" x14ac:dyDescent="0.3">
      <c r="A10" t="s">
        <v>729</v>
      </c>
      <c r="B10" t="s">
        <v>22</v>
      </c>
    </row>
    <row r="11" spans="1:2" x14ac:dyDescent="0.3">
      <c r="A11" t="s">
        <v>730</v>
      </c>
      <c r="B11" t="s">
        <v>731</v>
      </c>
    </row>
    <row r="12" spans="1:2" x14ac:dyDescent="0.3">
      <c r="A12" t="s">
        <v>262</v>
      </c>
      <c r="B12" t="s">
        <v>11</v>
      </c>
    </row>
    <row r="13" spans="1:2" x14ac:dyDescent="0.3">
      <c r="A13" t="s">
        <v>732</v>
      </c>
      <c r="B13" t="s">
        <v>22</v>
      </c>
    </row>
    <row r="14" spans="1:2" x14ac:dyDescent="0.3">
      <c r="A14" t="s">
        <v>733</v>
      </c>
      <c r="B14" t="s">
        <v>22</v>
      </c>
    </row>
    <row r="15" spans="1:2" x14ac:dyDescent="0.3">
      <c r="A15" t="s">
        <v>264</v>
      </c>
      <c r="B15" t="s">
        <v>11</v>
      </c>
    </row>
    <row r="16" spans="1:2" x14ac:dyDescent="0.3">
      <c r="A16" t="s">
        <v>734</v>
      </c>
      <c r="B16" t="s">
        <v>11</v>
      </c>
    </row>
    <row r="17" spans="1:2" x14ac:dyDescent="0.3">
      <c r="A17" t="s">
        <v>735</v>
      </c>
      <c r="B17" t="s">
        <v>22</v>
      </c>
    </row>
    <row r="18" spans="1:2" x14ac:dyDescent="0.3">
      <c r="A18" t="s">
        <v>265</v>
      </c>
      <c r="B18" t="s">
        <v>11</v>
      </c>
    </row>
    <row r="19" spans="1:2" x14ac:dyDescent="0.3">
      <c r="A19" t="s">
        <v>269</v>
      </c>
      <c r="B19" t="s">
        <v>11</v>
      </c>
    </row>
    <row r="20" spans="1:2" x14ac:dyDescent="0.3">
      <c r="A20" t="s">
        <v>736</v>
      </c>
      <c r="B20" t="s">
        <v>22</v>
      </c>
    </row>
    <row r="21" spans="1:2" x14ac:dyDescent="0.3">
      <c r="A21" t="s">
        <v>737</v>
      </c>
      <c r="B21" t="s">
        <v>65</v>
      </c>
    </row>
    <row r="22" spans="1:2" x14ac:dyDescent="0.3">
      <c r="A22" t="s">
        <v>738</v>
      </c>
      <c r="B22" t="s">
        <v>22</v>
      </c>
    </row>
    <row r="23" spans="1:2" x14ac:dyDescent="0.3">
      <c r="A23" t="s">
        <v>739</v>
      </c>
      <c r="B23" t="s">
        <v>8</v>
      </c>
    </row>
    <row r="24" spans="1:2" x14ac:dyDescent="0.3">
      <c r="A24" t="s">
        <v>740</v>
      </c>
      <c r="B24" t="s">
        <v>24</v>
      </c>
    </row>
    <row r="25" spans="1:2" x14ac:dyDescent="0.3">
      <c r="A25" t="s">
        <v>741</v>
      </c>
      <c r="B25" t="s">
        <v>11</v>
      </c>
    </row>
    <row r="26" spans="1:2" x14ac:dyDescent="0.3">
      <c r="A26" t="s">
        <v>275</v>
      </c>
      <c r="B26" t="s">
        <v>8</v>
      </c>
    </row>
    <row r="27" spans="1:2" x14ac:dyDescent="0.3">
      <c r="A27" t="s">
        <v>742</v>
      </c>
      <c r="B27" t="s">
        <v>23</v>
      </c>
    </row>
    <row r="28" spans="1:2" x14ac:dyDescent="0.3">
      <c r="A28" t="s">
        <v>743</v>
      </c>
      <c r="B28" t="s">
        <v>23</v>
      </c>
    </row>
    <row r="29" spans="1:2" x14ac:dyDescent="0.3">
      <c r="A29" t="s">
        <v>744</v>
      </c>
      <c r="B29" t="s">
        <v>24</v>
      </c>
    </row>
    <row r="30" spans="1:2" x14ac:dyDescent="0.3">
      <c r="A30" t="s">
        <v>273</v>
      </c>
      <c r="B30" t="s">
        <v>8</v>
      </c>
    </row>
    <row r="31" spans="1:2" x14ac:dyDescent="0.3">
      <c r="A31" t="s">
        <v>276</v>
      </c>
      <c r="B31" t="s">
        <v>8</v>
      </c>
    </row>
    <row r="32" spans="1:2" x14ac:dyDescent="0.3">
      <c r="A32" t="s">
        <v>745</v>
      </c>
      <c r="B32" t="s">
        <v>23</v>
      </c>
    </row>
    <row r="33" spans="1:2" x14ac:dyDescent="0.3">
      <c r="A33" t="s">
        <v>746</v>
      </c>
      <c r="B33" t="s">
        <v>8</v>
      </c>
    </row>
    <row r="34" spans="1:2" x14ac:dyDescent="0.3">
      <c r="A34" t="s">
        <v>747</v>
      </c>
      <c r="B34" t="s">
        <v>23</v>
      </c>
    </row>
    <row r="35" spans="1:2" x14ac:dyDescent="0.3">
      <c r="A35" t="s">
        <v>748</v>
      </c>
      <c r="B35" t="s">
        <v>23</v>
      </c>
    </row>
    <row r="36" spans="1:2" x14ac:dyDescent="0.3">
      <c r="A36" t="s">
        <v>749</v>
      </c>
      <c r="B36" t="s">
        <v>23</v>
      </c>
    </row>
    <row r="37" spans="1:2" x14ac:dyDescent="0.3">
      <c r="A37" t="s">
        <v>750</v>
      </c>
      <c r="B37" t="s">
        <v>23</v>
      </c>
    </row>
    <row r="38" spans="1:2" x14ac:dyDescent="0.3">
      <c r="A38" t="s">
        <v>751</v>
      </c>
      <c r="B38" t="s">
        <v>23</v>
      </c>
    </row>
    <row r="39" spans="1:2" x14ac:dyDescent="0.3">
      <c r="A39" t="s">
        <v>752</v>
      </c>
      <c r="B39" t="s">
        <v>23</v>
      </c>
    </row>
    <row r="40" spans="1:2" x14ac:dyDescent="0.3">
      <c r="A40" t="s">
        <v>753</v>
      </c>
      <c r="B40" t="s">
        <v>23</v>
      </c>
    </row>
    <row r="41" spans="1:2" x14ac:dyDescent="0.3">
      <c r="A41" t="s">
        <v>754</v>
      </c>
      <c r="B41" t="s">
        <v>23</v>
      </c>
    </row>
    <row r="42" spans="1:2" x14ac:dyDescent="0.3">
      <c r="A42" t="s">
        <v>280</v>
      </c>
      <c r="B42" t="s">
        <v>67</v>
      </c>
    </row>
    <row r="43" spans="1:2" x14ac:dyDescent="0.3">
      <c r="A43" t="s">
        <v>755</v>
      </c>
      <c r="B43" t="s">
        <v>9</v>
      </c>
    </row>
    <row r="44" spans="1:2" x14ac:dyDescent="0.3">
      <c r="A44" t="s">
        <v>283</v>
      </c>
      <c r="B44" t="s">
        <v>67</v>
      </c>
    </row>
    <row r="45" spans="1:2" x14ac:dyDescent="0.3">
      <c r="A45" t="s">
        <v>756</v>
      </c>
      <c r="B45" t="s">
        <v>71</v>
      </c>
    </row>
    <row r="46" spans="1:2" x14ac:dyDescent="0.3">
      <c r="A46" t="s">
        <v>757</v>
      </c>
      <c r="B46" t="s">
        <v>23</v>
      </c>
    </row>
    <row r="47" spans="1:2" x14ac:dyDescent="0.3">
      <c r="A47" t="s">
        <v>758</v>
      </c>
      <c r="B47" t="s">
        <v>69</v>
      </c>
    </row>
    <row r="48" spans="1:2" x14ac:dyDescent="0.3">
      <c r="A48" t="s">
        <v>759</v>
      </c>
      <c r="B48" t="s">
        <v>67</v>
      </c>
    </row>
    <row r="49" spans="1:2" x14ac:dyDescent="0.3">
      <c r="A49" t="s">
        <v>277</v>
      </c>
      <c r="B49" t="s">
        <v>90</v>
      </c>
    </row>
    <row r="50" spans="1:2" x14ac:dyDescent="0.3">
      <c r="A50" t="s">
        <v>760</v>
      </c>
      <c r="B50" t="s">
        <v>18</v>
      </c>
    </row>
    <row r="51" spans="1:2" x14ac:dyDescent="0.3">
      <c r="A51" t="s">
        <v>279</v>
      </c>
      <c r="B51" t="s">
        <v>90</v>
      </c>
    </row>
    <row r="52" spans="1:2" x14ac:dyDescent="0.3">
      <c r="A52" t="s">
        <v>761</v>
      </c>
      <c r="B52" t="s">
        <v>9</v>
      </c>
    </row>
    <row r="53" spans="1:2" x14ac:dyDescent="0.3">
      <c r="A53" t="s">
        <v>762</v>
      </c>
      <c r="B53" t="s">
        <v>71</v>
      </c>
    </row>
    <row r="54" spans="1:2" x14ac:dyDescent="0.3">
      <c r="A54" t="s">
        <v>763</v>
      </c>
      <c r="B54" t="s">
        <v>71</v>
      </c>
    </row>
    <row r="55" spans="1:2" x14ac:dyDescent="0.3">
      <c r="A55" t="s">
        <v>764</v>
      </c>
      <c r="B55" t="s">
        <v>71</v>
      </c>
    </row>
    <row r="56" spans="1:2" x14ac:dyDescent="0.3">
      <c r="A56" t="s">
        <v>765</v>
      </c>
      <c r="B56" t="s">
        <v>71</v>
      </c>
    </row>
    <row r="57" spans="1:2" x14ac:dyDescent="0.3">
      <c r="A57" t="s">
        <v>766</v>
      </c>
      <c r="B57" t="s">
        <v>71</v>
      </c>
    </row>
    <row r="58" spans="1:2" x14ac:dyDescent="0.3">
      <c r="A58" t="s">
        <v>282</v>
      </c>
      <c r="B58" t="s">
        <v>67</v>
      </c>
    </row>
    <row r="59" spans="1:2" x14ac:dyDescent="0.3">
      <c r="A59" t="s">
        <v>318</v>
      </c>
      <c r="B59" t="s">
        <v>71</v>
      </c>
    </row>
    <row r="60" spans="1:2" x14ac:dyDescent="0.3">
      <c r="A60" t="s">
        <v>767</v>
      </c>
      <c r="B60" t="s">
        <v>72</v>
      </c>
    </row>
    <row r="61" spans="1:2" x14ac:dyDescent="0.3">
      <c r="A61" t="s">
        <v>768</v>
      </c>
      <c r="B61" t="s">
        <v>69</v>
      </c>
    </row>
    <row r="62" spans="1:2" x14ac:dyDescent="0.3">
      <c r="A62" t="s">
        <v>769</v>
      </c>
      <c r="B62" t="s">
        <v>72</v>
      </c>
    </row>
    <row r="63" spans="1:2" x14ac:dyDescent="0.3">
      <c r="A63" t="s">
        <v>335</v>
      </c>
      <c r="B63" t="s">
        <v>69</v>
      </c>
    </row>
    <row r="64" spans="1:2" x14ac:dyDescent="0.3">
      <c r="A64" t="s">
        <v>770</v>
      </c>
      <c r="B64" t="s">
        <v>71</v>
      </c>
    </row>
    <row r="65" spans="1:2" x14ac:dyDescent="0.3">
      <c r="A65" t="s">
        <v>771</v>
      </c>
      <c r="B65" t="s">
        <v>69</v>
      </c>
    </row>
    <row r="66" spans="1:2" x14ac:dyDescent="0.3">
      <c r="A66" t="s">
        <v>772</v>
      </c>
      <c r="B66" t="s">
        <v>23</v>
      </c>
    </row>
    <row r="67" spans="1:2" x14ac:dyDescent="0.3">
      <c r="A67" t="s">
        <v>773</v>
      </c>
      <c r="B67" t="s">
        <v>69</v>
      </c>
    </row>
    <row r="68" spans="1:2" x14ac:dyDescent="0.3">
      <c r="A68" t="s">
        <v>774</v>
      </c>
      <c r="B68" t="s">
        <v>81</v>
      </c>
    </row>
    <row r="69" spans="1:2" x14ac:dyDescent="0.3">
      <c r="A69" t="s">
        <v>775</v>
      </c>
      <c r="B69" t="s">
        <v>67</v>
      </c>
    </row>
    <row r="70" spans="1:2" x14ac:dyDescent="0.3">
      <c r="A70" t="s">
        <v>776</v>
      </c>
      <c r="B70" t="s">
        <v>105</v>
      </c>
    </row>
    <row r="71" spans="1:2" x14ac:dyDescent="0.3">
      <c r="A71" t="s">
        <v>777</v>
      </c>
      <c r="B71" t="s">
        <v>69</v>
      </c>
    </row>
    <row r="72" spans="1:2" x14ac:dyDescent="0.3">
      <c r="A72" t="s">
        <v>778</v>
      </c>
      <c r="B72" t="s">
        <v>69</v>
      </c>
    </row>
    <row r="73" spans="1:2" x14ac:dyDescent="0.3">
      <c r="A73" t="s">
        <v>779</v>
      </c>
      <c r="B73" t="s">
        <v>95</v>
      </c>
    </row>
    <row r="74" spans="1:2" x14ac:dyDescent="0.3">
      <c r="A74" t="s">
        <v>780</v>
      </c>
      <c r="B74" t="s">
        <v>72</v>
      </c>
    </row>
    <row r="75" spans="1:2" x14ac:dyDescent="0.3">
      <c r="A75" t="s">
        <v>781</v>
      </c>
      <c r="B75" t="s">
        <v>95</v>
      </c>
    </row>
    <row r="76" spans="1:2" x14ac:dyDescent="0.3">
      <c r="A76" t="s">
        <v>782</v>
      </c>
      <c r="B76" t="s">
        <v>105</v>
      </c>
    </row>
    <row r="77" spans="1:2" x14ac:dyDescent="0.3">
      <c r="A77" t="s">
        <v>308</v>
      </c>
      <c r="B77" t="s">
        <v>72</v>
      </c>
    </row>
    <row r="78" spans="1:2" x14ac:dyDescent="0.3">
      <c r="A78" t="s">
        <v>783</v>
      </c>
      <c r="B78" t="s">
        <v>81</v>
      </c>
    </row>
    <row r="79" spans="1:2" x14ac:dyDescent="0.3">
      <c r="A79" t="s">
        <v>784</v>
      </c>
      <c r="B79" t="s">
        <v>81</v>
      </c>
    </row>
    <row r="80" spans="1:2" x14ac:dyDescent="0.3">
      <c r="A80" t="s">
        <v>785</v>
      </c>
      <c r="B80" t="s">
        <v>69</v>
      </c>
    </row>
    <row r="81" spans="1:2" x14ac:dyDescent="0.3">
      <c r="A81" t="s">
        <v>786</v>
      </c>
      <c r="B81" t="s">
        <v>95</v>
      </c>
    </row>
    <row r="82" spans="1:2" x14ac:dyDescent="0.3">
      <c r="A82" t="s">
        <v>787</v>
      </c>
      <c r="B82" t="s">
        <v>95</v>
      </c>
    </row>
    <row r="83" spans="1:2" x14ac:dyDescent="0.3">
      <c r="A83" t="s">
        <v>788</v>
      </c>
      <c r="B83" t="s">
        <v>101</v>
      </c>
    </row>
    <row r="84" spans="1:2" x14ac:dyDescent="0.3">
      <c r="A84" t="s">
        <v>300</v>
      </c>
      <c r="B84" t="s">
        <v>81</v>
      </c>
    </row>
    <row r="85" spans="1:2" x14ac:dyDescent="0.3">
      <c r="A85" t="s">
        <v>301</v>
      </c>
      <c r="B85" t="s">
        <v>81</v>
      </c>
    </row>
    <row r="86" spans="1:2" x14ac:dyDescent="0.3">
      <c r="A86" t="s">
        <v>298</v>
      </c>
      <c r="B86" t="s">
        <v>81</v>
      </c>
    </row>
    <row r="87" spans="1:2" x14ac:dyDescent="0.3">
      <c r="A87" t="s">
        <v>789</v>
      </c>
      <c r="B87" t="s">
        <v>95</v>
      </c>
    </row>
    <row r="88" spans="1:2" x14ac:dyDescent="0.3">
      <c r="A88" t="s">
        <v>790</v>
      </c>
      <c r="B88" t="s">
        <v>93</v>
      </c>
    </row>
    <row r="89" spans="1:2" x14ac:dyDescent="0.3">
      <c r="A89" t="s">
        <v>791</v>
      </c>
      <c r="B89" t="s">
        <v>92</v>
      </c>
    </row>
    <row r="90" spans="1:2" x14ac:dyDescent="0.3">
      <c r="A90" t="s">
        <v>792</v>
      </c>
      <c r="B90" t="s">
        <v>75</v>
      </c>
    </row>
    <row r="91" spans="1:2" x14ac:dyDescent="0.3">
      <c r="A91" t="s">
        <v>793</v>
      </c>
      <c r="B91" t="s">
        <v>110</v>
      </c>
    </row>
    <row r="92" spans="1:2" x14ac:dyDescent="0.3">
      <c r="A92" t="s">
        <v>794</v>
      </c>
      <c r="B92" t="s">
        <v>110</v>
      </c>
    </row>
    <row r="93" spans="1:2" x14ac:dyDescent="0.3">
      <c r="A93" t="s">
        <v>795</v>
      </c>
      <c r="B93" t="s">
        <v>97</v>
      </c>
    </row>
    <row r="94" spans="1:2" x14ac:dyDescent="0.3">
      <c r="A94" t="s">
        <v>796</v>
      </c>
      <c r="B94" t="s">
        <v>110</v>
      </c>
    </row>
    <row r="95" spans="1:2" x14ac:dyDescent="0.3">
      <c r="A95" t="s">
        <v>797</v>
      </c>
      <c r="B95" t="s">
        <v>92</v>
      </c>
    </row>
    <row r="96" spans="1:2" x14ac:dyDescent="0.3">
      <c r="A96" t="s">
        <v>798</v>
      </c>
      <c r="B96" t="s">
        <v>799</v>
      </c>
    </row>
    <row r="97" spans="1:2" x14ac:dyDescent="0.3">
      <c r="A97" t="s">
        <v>800</v>
      </c>
      <c r="B97" t="s">
        <v>97</v>
      </c>
    </row>
    <row r="98" spans="1:2" x14ac:dyDescent="0.3">
      <c r="A98" t="s">
        <v>801</v>
      </c>
      <c r="B98" t="s">
        <v>85</v>
      </c>
    </row>
    <row r="99" spans="1:2" x14ac:dyDescent="0.3">
      <c r="A99" t="s">
        <v>802</v>
      </c>
      <c r="B99" t="s">
        <v>92</v>
      </c>
    </row>
    <row r="100" spans="1:2" x14ac:dyDescent="0.3">
      <c r="A100" t="s">
        <v>803</v>
      </c>
      <c r="B100" t="s">
        <v>92</v>
      </c>
    </row>
    <row r="101" spans="1:2" x14ac:dyDescent="0.3">
      <c r="A101" t="s">
        <v>804</v>
      </c>
      <c r="B101" t="s">
        <v>115</v>
      </c>
    </row>
    <row r="102" spans="1:2" x14ac:dyDescent="0.3">
      <c r="A102" t="s">
        <v>805</v>
      </c>
      <c r="B102" t="s">
        <v>97</v>
      </c>
    </row>
    <row r="103" spans="1:2" x14ac:dyDescent="0.3">
      <c r="A103" t="s">
        <v>364</v>
      </c>
      <c r="B103" t="s">
        <v>97</v>
      </c>
    </row>
    <row r="104" spans="1:2" x14ac:dyDescent="0.3">
      <c r="A104" t="s">
        <v>806</v>
      </c>
      <c r="B104" t="s">
        <v>92</v>
      </c>
    </row>
    <row r="105" spans="1:2" x14ac:dyDescent="0.3">
      <c r="A105" t="s">
        <v>355</v>
      </c>
      <c r="B105" t="s">
        <v>97</v>
      </c>
    </row>
    <row r="106" spans="1:2" x14ac:dyDescent="0.3">
      <c r="A106" t="s">
        <v>807</v>
      </c>
      <c r="B106" t="s">
        <v>92</v>
      </c>
    </row>
    <row r="107" spans="1:2" x14ac:dyDescent="0.3">
      <c r="A107" t="s">
        <v>808</v>
      </c>
      <c r="B107" t="s">
        <v>92</v>
      </c>
    </row>
    <row r="108" spans="1:2" x14ac:dyDescent="0.3">
      <c r="A108" t="s">
        <v>366</v>
      </c>
      <c r="B108" t="s">
        <v>97</v>
      </c>
    </row>
    <row r="109" spans="1:2" x14ac:dyDescent="0.3">
      <c r="A109" t="s">
        <v>809</v>
      </c>
      <c r="B109" t="s">
        <v>92</v>
      </c>
    </row>
    <row r="110" spans="1:2" x14ac:dyDescent="0.3">
      <c r="A110" t="s">
        <v>810</v>
      </c>
      <c r="B110" t="s">
        <v>115</v>
      </c>
    </row>
    <row r="111" spans="1:2" x14ac:dyDescent="0.3">
      <c r="A111" t="s">
        <v>811</v>
      </c>
      <c r="B111" t="s">
        <v>92</v>
      </c>
    </row>
    <row r="112" spans="1:2" x14ac:dyDescent="0.3">
      <c r="A112" t="s">
        <v>812</v>
      </c>
      <c r="B112" t="s">
        <v>115</v>
      </c>
    </row>
    <row r="113" spans="1:2" x14ac:dyDescent="0.3">
      <c r="A113" t="s">
        <v>813</v>
      </c>
      <c r="B113" t="s">
        <v>110</v>
      </c>
    </row>
    <row r="114" spans="1:2" x14ac:dyDescent="0.3">
      <c r="A114" t="s">
        <v>814</v>
      </c>
      <c r="B114" t="s">
        <v>106</v>
      </c>
    </row>
    <row r="115" spans="1:2" x14ac:dyDescent="0.3">
      <c r="A115" t="s">
        <v>815</v>
      </c>
      <c r="B115" t="s">
        <v>106</v>
      </c>
    </row>
    <row r="116" spans="1:2" x14ac:dyDescent="0.3">
      <c r="A116" t="s">
        <v>816</v>
      </c>
      <c r="B116" t="s">
        <v>106</v>
      </c>
    </row>
    <row r="117" spans="1:2" x14ac:dyDescent="0.3">
      <c r="A117" t="s">
        <v>817</v>
      </c>
      <c r="B117" t="s">
        <v>97</v>
      </c>
    </row>
    <row r="118" spans="1:2" x14ac:dyDescent="0.3">
      <c r="A118" t="s">
        <v>818</v>
      </c>
      <c r="B118" t="s">
        <v>106</v>
      </c>
    </row>
    <row r="119" spans="1:2" x14ac:dyDescent="0.3">
      <c r="A119" t="s">
        <v>819</v>
      </c>
      <c r="B119" t="s">
        <v>106</v>
      </c>
    </row>
    <row r="120" spans="1:2" x14ac:dyDescent="0.3">
      <c r="A120" t="s">
        <v>820</v>
      </c>
      <c r="B120" t="s">
        <v>97</v>
      </c>
    </row>
    <row r="121" spans="1:2" x14ac:dyDescent="0.3">
      <c r="A121" t="s">
        <v>821</v>
      </c>
      <c r="B121" t="s">
        <v>98</v>
      </c>
    </row>
    <row r="122" spans="1:2" x14ac:dyDescent="0.3">
      <c r="A122" t="s">
        <v>822</v>
      </c>
      <c r="B122" t="s">
        <v>115</v>
      </c>
    </row>
    <row r="123" spans="1:2" x14ac:dyDescent="0.3">
      <c r="A123" t="s">
        <v>374</v>
      </c>
      <c r="B123" t="s">
        <v>114</v>
      </c>
    </row>
    <row r="124" spans="1:2" x14ac:dyDescent="0.3">
      <c r="A124" t="s">
        <v>823</v>
      </c>
      <c r="B124" t="s">
        <v>106</v>
      </c>
    </row>
    <row r="125" spans="1:2" x14ac:dyDescent="0.3">
      <c r="A125" t="s">
        <v>375</v>
      </c>
      <c r="B125" t="s">
        <v>114</v>
      </c>
    </row>
    <row r="126" spans="1:2" x14ac:dyDescent="0.3">
      <c r="A126" t="s">
        <v>824</v>
      </c>
      <c r="B126" t="s">
        <v>118</v>
      </c>
    </row>
    <row r="127" spans="1:2" x14ac:dyDescent="0.3">
      <c r="A127" t="s">
        <v>372</v>
      </c>
      <c r="B127" t="s">
        <v>114</v>
      </c>
    </row>
    <row r="128" spans="1:2" x14ac:dyDescent="0.3">
      <c r="A128" t="s">
        <v>825</v>
      </c>
      <c r="B128" t="s">
        <v>116</v>
      </c>
    </row>
    <row r="129" spans="1:2" x14ac:dyDescent="0.3">
      <c r="A129" t="s">
        <v>826</v>
      </c>
      <c r="B129" t="s">
        <v>116</v>
      </c>
    </row>
    <row r="130" spans="1:2" x14ac:dyDescent="0.3">
      <c r="A130" t="s">
        <v>827</v>
      </c>
      <c r="B130" t="s">
        <v>134</v>
      </c>
    </row>
    <row r="131" spans="1:2" x14ac:dyDescent="0.3">
      <c r="A131" t="s">
        <v>828</v>
      </c>
      <c r="B131" t="s">
        <v>121</v>
      </c>
    </row>
    <row r="132" spans="1:2" x14ac:dyDescent="0.3">
      <c r="A132" t="s">
        <v>829</v>
      </c>
      <c r="B132" t="s">
        <v>110</v>
      </c>
    </row>
    <row r="133" spans="1:2" x14ac:dyDescent="0.3">
      <c r="A133" t="s">
        <v>830</v>
      </c>
      <c r="B133" t="s">
        <v>121</v>
      </c>
    </row>
    <row r="134" spans="1:2" x14ac:dyDescent="0.3">
      <c r="A134" t="s">
        <v>831</v>
      </c>
      <c r="B134" t="s">
        <v>145</v>
      </c>
    </row>
    <row r="135" spans="1:2" x14ac:dyDescent="0.3">
      <c r="A135" t="s">
        <v>832</v>
      </c>
      <c r="B135" t="s">
        <v>176</v>
      </c>
    </row>
    <row r="136" spans="1:2" x14ac:dyDescent="0.3">
      <c r="A136" t="s">
        <v>833</v>
      </c>
      <c r="B136" t="s">
        <v>121</v>
      </c>
    </row>
    <row r="137" spans="1:2" x14ac:dyDescent="0.3">
      <c r="A137" t="s">
        <v>834</v>
      </c>
      <c r="B137" t="s">
        <v>119</v>
      </c>
    </row>
    <row r="138" spans="1:2" x14ac:dyDescent="0.3">
      <c r="A138" t="s">
        <v>835</v>
      </c>
      <c r="B138" t="s">
        <v>119</v>
      </c>
    </row>
    <row r="139" spans="1:2" x14ac:dyDescent="0.3">
      <c r="A139" t="s">
        <v>836</v>
      </c>
      <c r="B139" t="s">
        <v>127</v>
      </c>
    </row>
    <row r="140" spans="1:2" x14ac:dyDescent="0.3">
      <c r="A140" t="s">
        <v>837</v>
      </c>
      <c r="B140" t="s">
        <v>148</v>
      </c>
    </row>
    <row r="141" spans="1:2" x14ac:dyDescent="0.3">
      <c r="A141" t="s">
        <v>838</v>
      </c>
      <c r="B141" t="s">
        <v>130</v>
      </c>
    </row>
    <row r="142" spans="1:2" x14ac:dyDescent="0.3">
      <c r="A142" t="s">
        <v>392</v>
      </c>
      <c r="B142" t="s">
        <v>176</v>
      </c>
    </row>
    <row r="143" spans="1:2" x14ac:dyDescent="0.3">
      <c r="A143" t="s">
        <v>839</v>
      </c>
      <c r="B143" t="s">
        <v>159</v>
      </c>
    </row>
    <row r="144" spans="1:2" x14ac:dyDescent="0.3">
      <c r="A144" t="s">
        <v>840</v>
      </c>
      <c r="B144" t="s">
        <v>148</v>
      </c>
    </row>
    <row r="145" spans="1:2" x14ac:dyDescent="0.3">
      <c r="A145" t="s">
        <v>841</v>
      </c>
      <c r="B145" t="s">
        <v>159</v>
      </c>
    </row>
    <row r="146" spans="1:2" x14ac:dyDescent="0.3">
      <c r="A146" t="s">
        <v>842</v>
      </c>
      <c r="B146" t="s">
        <v>154</v>
      </c>
    </row>
    <row r="147" spans="1:2" x14ac:dyDescent="0.3">
      <c r="A147" t="s">
        <v>843</v>
      </c>
      <c r="B147" t="s">
        <v>154</v>
      </c>
    </row>
    <row r="148" spans="1:2" x14ac:dyDescent="0.3">
      <c r="A148" t="s">
        <v>844</v>
      </c>
      <c r="B148" t="s">
        <v>148</v>
      </c>
    </row>
    <row r="149" spans="1:2" x14ac:dyDescent="0.3">
      <c r="A149" t="s">
        <v>845</v>
      </c>
      <c r="B149" t="s">
        <v>154</v>
      </c>
    </row>
    <row r="150" spans="1:2" x14ac:dyDescent="0.3">
      <c r="A150" t="s">
        <v>393</v>
      </c>
      <c r="B150" t="s">
        <v>176</v>
      </c>
    </row>
    <row r="151" spans="1:2" x14ac:dyDescent="0.3">
      <c r="A151" t="s">
        <v>846</v>
      </c>
      <c r="B151" t="s">
        <v>148</v>
      </c>
    </row>
    <row r="152" spans="1:2" x14ac:dyDescent="0.3">
      <c r="A152" t="s">
        <v>847</v>
      </c>
      <c r="B152" t="s">
        <v>154</v>
      </c>
    </row>
    <row r="153" spans="1:2" x14ac:dyDescent="0.3">
      <c r="A153" t="s">
        <v>848</v>
      </c>
      <c r="B153" t="s">
        <v>154</v>
      </c>
    </row>
    <row r="154" spans="1:2" x14ac:dyDescent="0.3">
      <c r="A154" t="s">
        <v>849</v>
      </c>
      <c r="B154" t="s">
        <v>154</v>
      </c>
    </row>
    <row r="155" spans="1:2" x14ac:dyDescent="0.3">
      <c r="A155" t="s">
        <v>850</v>
      </c>
      <c r="B155" t="s">
        <v>148</v>
      </c>
    </row>
    <row r="156" spans="1:2" x14ac:dyDescent="0.3">
      <c r="A156" t="s">
        <v>851</v>
      </c>
      <c r="B156" t="s">
        <v>149</v>
      </c>
    </row>
    <row r="157" spans="1:2" x14ac:dyDescent="0.3">
      <c r="A157" t="s">
        <v>852</v>
      </c>
      <c r="B157" t="s">
        <v>148</v>
      </c>
    </row>
    <row r="158" spans="1:2" x14ac:dyDescent="0.3">
      <c r="A158" t="s">
        <v>853</v>
      </c>
      <c r="B158" t="s">
        <v>149</v>
      </c>
    </row>
    <row r="159" spans="1:2" x14ac:dyDescent="0.3">
      <c r="A159" t="s">
        <v>854</v>
      </c>
      <c r="B159" t="s">
        <v>148</v>
      </c>
    </row>
    <row r="160" spans="1:2" x14ac:dyDescent="0.3">
      <c r="A160" t="s">
        <v>855</v>
      </c>
      <c r="B160" t="s">
        <v>148</v>
      </c>
    </row>
    <row r="161" spans="1:2" x14ac:dyDescent="0.3">
      <c r="A161" t="s">
        <v>856</v>
      </c>
      <c r="B161" t="s">
        <v>158</v>
      </c>
    </row>
    <row r="162" spans="1:2" x14ac:dyDescent="0.3">
      <c r="A162" t="s">
        <v>857</v>
      </c>
      <c r="B162" t="s">
        <v>136</v>
      </c>
    </row>
    <row r="163" spans="1:2" x14ac:dyDescent="0.3">
      <c r="A163" t="s">
        <v>858</v>
      </c>
      <c r="B163" t="s">
        <v>136</v>
      </c>
    </row>
    <row r="164" spans="1:2" x14ac:dyDescent="0.3">
      <c r="A164" t="s">
        <v>433</v>
      </c>
      <c r="B164" t="s">
        <v>67</v>
      </c>
    </row>
    <row r="165" spans="1:2" x14ac:dyDescent="0.3">
      <c r="A165" t="s">
        <v>439</v>
      </c>
      <c r="B165" t="s">
        <v>232</v>
      </c>
    </row>
    <row r="166" spans="1:2" x14ac:dyDescent="0.3">
      <c r="A166" t="s">
        <v>859</v>
      </c>
      <c r="B166" t="s">
        <v>184</v>
      </c>
    </row>
    <row r="167" spans="1:2" x14ac:dyDescent="0.3">
      <c r="A167" t="s">
        <v>440</v>
      </c>
      <c r="B167" t="s">
        <v>232</v>
      </c>
    </row>
    <row r="168" spans="1:2" x14ac:dyDescent="0.3">
      <c r="A168" t="s">
        <v>860</v>
      </c>
      <c r="B168" t="s">
        <v>166</v>
      </c>
    </row>
    <row r="169" spans="1:2" x14ac:dyDescent="0.3">
      <c r="A169" t="s">
        <v>861</v>
      </c>
      <c r="B169" t="s">
        <v>212</v>
      </c>
    </row>
    <row r="170" spans="1:2" x14ac:dyDescent="0.3">
      <c r="A170" t="s">
        <v>862</v>
      </c>
      <c r="B170" t="s">
        <v>212</v>
      </c>
    </row>
    <row r="171" spans="1:2" x14ac:dyDescent="0.3">
      <c r="A171" t="s">
        <v>863</v>
      </c>
      <c r="B171" t="s">
        <v>214</v>
      </c>
    </row>
    <row r="172" spans="1:2" x14ac:dyDescent="0.3">
      <c r="A172" t="s">
        <v>864</v>
      </c>
      <c r="B172" t="s">
        <v>214</v>
      </c>
    </row>
    <row r="173" spans="1:2" x14ac:dyDescent="0.3">
      <c r="A173" t="s">
        <v>865</v>
      </c>
      <c r="B173" t="s">
        <v>202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E5EE9168-DCAF-4FC7-8261-46A7DA98E9E0}">
  <ds:schemaRefs>
    <ds:schemaRef ds:uri="http://gemini/pivotcustomization/LinkedTableUpdateMode"/>
  </ds:schemaRefs>
</ds:datastoreItem>
</file>

<file path=customXml/itemProps2.xml><?xml version="1.0" encoding="utf-8"?>
<ds:datastoreItem xmlns:ds="http://schemas.openxmlformats.org/officeDocument/2006/customXml" ds:itemID="{400CFB89-43EB-4C13-8408-E7215AA656F2}">
  <ds:schemaRefs>
    <ds:schemaRef ds:uri="http://gemini/pivotcustomization/TableXML_Data_CPU"/>
  </ds:schemaRefs>
</ds:datastoreItem>
</file>

<file path=customXml/itemProps3.xml><?xml version="1.0" encoding="utf-8"?>
<ds:datastoreItem xmlns:ds="http://schemas.openxmlformats.org/officeDocument/2006/customXml" ds:itemID="{3B864E0B-E289-4BCA-ADFD-1956E60ECC43}">
  <ds:schemaRefs>
    <ds:schemaRef ds:uri="http://gemini/pivotcustomization/PowerPivotVersion"/>
  </ds:schemaRefs>
</ds:datastoreItem>
</file>

<file path=customXml/itemProps4.xml><?xml version="1.0" encoding="utf-8"?>
<ds:datastoreItem xmlns:ds="http://schemas.openxmlformats.org/officeDocument/2006/customXml" ds:itemID="{C634C339-E8C2-4252-86D4-20801462B864}">
  <ds:schemaRefs>
    <ds:schemaRef ds:uri="http://gemini/pivotcustomization/TableXML_Data_ML"/>
  </ds:schemaRefs>
</ds:datastoreItem>
</file>

<file path=customXml/itemProps5.xml><?xml version="1.0" encoding="utf-8"?>
<ds:datastoreItem xmlns:ds="http://schemas.openxmlformats.org/officeDocument/2006/customXml" ds:itemID="{AB99CA1F-5BDE-415E-B4D8-D13C02151B65}">
  <ds:schemaRefs>
    <ds:schemaRef ds:uri="http://gemini/pivotcustomization/RelationshipAutoDetectionEnabled"/>
  </ds:schemaRefs>
</ds:datastoreItem>
</file>

<file path=customXml/itemProps6.xml><?xml version="1.0" encoding="utf-8"?>
<ds:datastoreItem xmlns:ds="http://schemas.openxmlformats.org/officeDocument/2006/customXml" ds:itemID="{DBD35D20-2C19-41B2-B270-FEAF72E9AED4}">
  <ds:schemaRefs>
    <ds:schemaRef ds:uri="http://gemini/pivotcustomization/b904bf76-f85c-4918-a387-e7be323928b3"/>
  </ds:schemaRefs>
</ds:datastoreItem>
</file>

<file path=customXml/itemProps7.xml><?xml version="1.0" encoding="utf-8"?>
<ds:datastoreItem xmlns:ds="http://schemas.openxmlformats.org/officeDocument/2006/customXml" ds:itemID="{D7BB2AFC-7617-4F57-B97B-A620895A2133}">
  <ds:schemaRefs>
    <ds:schemaRef ds:uri="http://gemini/pivotcustomization/854c0583-6a9e-470c-a7e4-dc0b66142eb6"/>
  </ds:schemaRefs>
</ds:datastoreItem>
</file>

<file path=customXml/itemProps8.xml><?xml version="1.0" encoding="utf-8"?>
<ds:datastoreItem xmlns:ds="http://schemas.openxmlformats.org/officeDocument/2006/customXml" ds:itemID="{F2A40725-45E6-447D-A966-0602EE87CAAE}">
  <ds:schemaRefs>
    <ds:schemaRef ds:uri="http://gemini/pivotcustomization/Diagrams"/>
  </ds:schemaRefs>
</ds:datastoreItem>
</file>

<file path=customXml/itemProps9.xml><?xml version="1.0" encoding="utf-8"?>
<ds:datastoreItem xmlns:ds="http://schemas.openxmlformats.org/officeDocument/2006/customXml" ds:itemID="{B1DF22D5-E1BB-43BC-B74B-A4B5530F6FAE}">
  <ds:schemaRefs>
    <ds:schemaRef ds:uri="http://gemini/pivotcustomization/bca6fe15-a51e-4672-bf40-0975dfb4e526"/>
  </ds:schemaRefs>
</ds:datastoreItem>
</file>

<file path=customXml/itemProps10.xml><?xml version="1.0" encoding="utf-8"?>
<ds:datastoreItem xmlns:ds="http://schemas.openxmlformats.org/officeDocument/2006/customXml" ds:itemID="{82F9338C-7902-4229-9119-D17A10C6FC08}">
  <ds:schemaRefs>
    <ds:schemaRef ds:uri="http://gemini/pivotcustomization/TableOrder"/>
  </ds:schemaRefs>
</ds:datastoreItem>
</file>

<file path=customXml/itemProps11.xml><?xml version="1.0" encoding="utf-8"?>
<ds:datastoreItem xmlns:ds="http://schemas.openxmlformats.org/officeDocument/2006/customXml" ds:itemID="{C928A60F-710D-4D02-9036-A87960BA2908}">
  <ds:schemaRefs>
    <ds:schemaRef ds:uri="http://gemini/pivotcustomization/ShowHidden"/>
  </ds:schemaRefs>
</ds:datastoreItem>
</file>

<file path=customXml/itemProps12.xml><?xml version="1.0" encoding="utf-8"?>
<ds:datastoreItem xmlns:ds="http://schemas.openxmlformats.org/officeDocument/2006/customXml" ds:itemID="{8B56E8CD-3A4D-412B-9869-6D92E3FB353B}">
  <ds:schemaRefs>
    <ds:schemaRef ds:uri="http://gemini/pivotcustomization/TableWidget"/>
  </ds:schemaRefs>
</ds:datastoreItem>
</file>

<file path=customXml/itemProps13.xml><?xml version="1.0" encoding="utf-8"?>
<ds:datastoreItem xmlns:ds="http://schemas.openxmlformats.org/officeDocument/2006/customXml" ds:itemID="{1582A7E9-7817-4D6B-B335-93EB794FD5DF}">
  <ds:schemaRefs>
    <ds:schemaRef ds:uri="http://gemini/pivotcustomization/cab19b4a-778d-460c-906a-6d57ceed7cbf"/>
  </ds:schemaRefs>
</ds:datastoreItem>
</file>

<file path=customXml/itemProps14.xml><?xml version="1.0" encoding="utf-8"?>
<ds:datastoreItem xmlns:ds="http://schemas.openxmlformats.org/officeDocument/2006/customXml" ds:itemID="{D47D0C7E-74FC-41C1-B517-3DD1F6C9B175}">
  <ds:schemaRefs>
    <ds:schemaRef ds:uri="http://gemini/pivotcustomization/ErrorCache"/>
  </ds:schemaRefs>
</ds:datastoreItem>
</file>

<file path=customXml/itemProps15.xml><?xml version="1.0" encoding="utf-8"?>
<ds:datastoreItem xmlns:ds="http://schemas.openxmlformats.org/officeDocument/2006/customXml" ds:itemID="{674AC535-8E94-4DDB-8912-37EDDD204D48}">
  <ds:schemaRefs>
    <ds:schemaRef ds:uri="http://gemini/pivotcustomization/ShowImplicitMeasures"/>
  </ds:schemaRefs>
</ds:datastoreItem>
</file>

<file path=customXml/itemProps16.xml><?xml version="1.0" encoding="utf-8"?>
<ds:datastoreItem xmlns:ds="http://schemas.openxmlformats.org/officeDocument/2006/customXml" ds:itemID="{0BB8AB46-7290-4830-ADC5-9122FFC9895B}">
  <ds:schemaRefs>
    <ds:schemaRef ds:uri="http://gemini/pivotcustomization/FormulaBarState"/>
  </ds:schemaRefs>
</ds:datastoreItem>
</file>

<file path=customXml/itemProps17.xml><?xml version="1.0" encoding="utf-8"?>
<ds:datastoreItem xmlns:ds="http://schemas.openxmlformats.org/officeDocument/2006/customXml" ds:itemID="{1E69D644-A864-4F3D-A56F-641EEA2F8FD1}">
  <ds:schemaRefs>
    <ds:schemaRef ds:uri="http://gemini/pivotcustomization/ClientWindowXML"/>
  </ds:schemaRefs>
</ds:datastoreItem>
</file>

<file path=customXml/itemProps18.xml><?xml version="1.0" encoding="utf-8"?>
<ds:datastoreItem xmlns:ds="http://schemas.openxmlformats.org/officeDocument/2006/customXml" ds:itemID="{D7BB73D0-0973-4DBE-8B82-596AD9B8E86A}">
  <ds:schemaRefs>
    <ds:schemaRef ds:uri="http://gemini/pivotcustomization/06f3529a-03f6-4054-844c-7a4a6dd3e7ff"/>
  </ds:schemaRefs>
</ds:datastoreItem>
</file>

<file path=customXml/itemProps19.xml><?xml version="1.0" encoding="utf-8"?>
<ds:datastoreItem xmlns:ds="http://schemas.openxmlformats.org/officeDocument/2006/customXml" ds:itemID="{10537934-BE21-4EF4-BE8E-D80D063602E9}">
  <ds:schemaRefs>
    <ds:schemaRef ds:uri="http://gemini/pivotcustomization/IsSandboxEmbedded"/>
  </ds:schemaRefs>
</ds:datastoreItem>
</file>

<file path=customXml/itemProps20.xml><?xml version="1.0" encoding="utf-8"?>
<ds:datastoreItem xmlns:ds="http://schemas.openxmlformats.org/officeDocument/2006/customXml" ds:itemID="{1D24CDDA-20BA-49D7-A6CC-EEBEEF00095A}">
  <ds:schemaRefs>
    <ds:schemaRef ds:uri="http://gemini/pivotcustomization/MeasureGridState"/>
  </ds:schemaRefs>
</ds:datastoreItem>
</file>

<file path=customXml/itemProps21.xml><?xml version="1.0" encoding="utf-8"?>
<ds:datastoreItem xmlns:ds="http://schemas.openxmlformats.org/officeDocument/2006/customXml" ds:itemID="{7DEC9CDA-A016-4026-8612-65CCBF6A41FC}">
  <ds:schemaRefs>
    <ds:schemaRef ds:uri="http://gemini/pivotcustomization/f9b68186-f5a6-4bc4-9e41-6b9c00f78a95"/>
  </ds:schemaRefs>
</ds:datastoreItem>
</file>

<file path=customXml/itemProps22.xml><?xml version="1.0" encoding="utf-8"?>
<ds:datastoreItem xmlns:ds="http://schemas.openxmlformats.org/officeDocument/2006/customXml" ds:itemID="{8E5DCB57-E7AB-4D4C-919B-1C74E22E0E35}">
  <ds:schemaRefs>
    <ds:schemaRef ds:uri="http://gemini/pivotcustomization/ManualCalcMode"/>
  </ds:schemaRefs>
</ds:datastoreItem>
</file>

<file path=customXml/itemProps23.xml><?xml version="1.0" encoding="utf-8"?>
<ds:datastoreItem xmlns:ds="http://schemas.openxmlformats.org/officeDocument/2006/customXml" ds:itemID="{6D79D7F8-73C2-41EB-B9D4-866C4D0C3877}">
  <ds:schemaRefs>
    <ds:schemaRef ds:uri="http://gemini/pivotcustomization/3d2673b9-e200-4d79-8bfa-08cd3f7274ab"/>
  </ds:schemaRefs>
</ds:datastoreItem>
</file>

<file path=customXml/itemProps24.xml><?xml version="1.0" encoding="utf-8"?>
<ds:datastoreItem xmlns:ds="http://schemas.openxmlformats.org/officeDocument/2006/customXml" ds:itemID="{C4193303-19B1-498D-B52B-2D8C9F006B4E}">
  <ds:schemaRefs>
    <ds:schemaRef ds:uri="http://gemini/pivotcustomization/b38295d6-4185-41dd-8439-1be073704c74"/>
  </ds:schemaRefs>
</ds:datastoreItem>
</file>

<file path=customXml/itemProps25.xml><?xml version="1.0" encoding="utf-8"?>
<ds:datastoreItem xmlns:ds="http://schemas.openxmlformats.org/officeDocument/2006/customXml" ds:itemID="{FD48514B-0987-48DC-A066-B2C4789FFA1D}">
  <ds:schemaRefs>
    <ds:schemaRef ds:uri="http://schemas.microsoft.com/DataMashup"/>
  </ds:schemaRefs>
</ds:datastoreItem>
</file>

<file path=customXml/itemProps26.xml><?xml version="1.0" encoding="utf-8"?>
<ds:datastoreItem xmlns:ds="http://schemas.openxmlformats.org/officeDocument/2006/customXml" ds:itemID="{C3E8536E-C4CE-4EFD-8B88-931983E0A349}">
  <ds:schemaRefs>
    <ds:schemaRef ds:uri="http://gemini/pivotcustomization/d7a823ca-b9cc-4945-a993-a531b3be5e9b"/>
  </ds:schemaRefs>
</ds:datastoreItem>
</file>

<file path=customXml/itemProps27.xml><?xml version="1.0" encoding="utf-8"?>
<ds:datastoreItem xmlns:ds="http://schemas.openxmlformats.org/officeDocument/2006/customXml" ds:itemID="{5FB4CA91-2837-42A8-9B97-524B8EB047A8}">
  <ds:schemaRefs>
    <ds:schemaRef ds:uri="http://gemini/pivotcustomization/TableXML_Data_AnTuTu"/>
  </ds:schemaRefs>
</ds:datastoreItem>
</file>

<file path=customXml/itemProps28.xml><?xml version="1.0" encoding="utf-8"?>
<ds:datastoreItem xmlns:ds="http://schemas.openxmlformats.org/officeDocument/2006/customXml" ds:itemID="{9A28D872-3590-4342-8375-7DBBCF0E4753}">
  <ds:schemaRefs>
    <ds:schemaRef ds:uri="http://gemini/pivotcustomization/SandboxNonEmpty"/>
  </ds:schemaRefs>
</ds:datastoreItem>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Overview (Dashboard)</vt:lpstr>
      <vt:lpstr>Analisis_What_If</vt:lpstr>
      <vt:lpstr>CUBE_Analysis</vt:lpstr>
      <vt:lpstr>PivotTable</vt:lpstr>
      <vt:lpstr>smartphone_cpu_stats</vt:lpstr>
      <vt:lpstr>ML_ALL_benchmarks</vt:lpstr>
      <vt:lpstr>antutu_android_vs_ios_v4</vt:lpstr>
      <vt:lpstr>Mapping_CPU</vt:lpstr>
      <vt:lpstr>Device_AnTuTu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Roger Nathanael</dc:creator>
  <cp:keywords/>
  <dc:description/>
  <cp:lastModifiedBy>ROGER NATHANAEL</cp:lastModifiedBy>
  <cp:revision/>
  <dcterms:created xsi:type="dcterms:W3CDTF">2015-06-05T18:17:20Z</dcterms:created>
  <dcterms:modified xsi:type="dcterms:W3CDTF">2026-06-05T15:51:45Z</dcterms:modified>
  <cp:category/>
  <cp:contentStatus/>
</cp:coreProperties>
</file>